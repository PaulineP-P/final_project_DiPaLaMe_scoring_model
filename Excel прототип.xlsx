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📖 Как пользоваться" sheetId="1" r:id="rId4"/>
    <sheet state="visible" name="Рейтинг и прогноз" sheetId="2" r:id="rId5"/>
    <sheet state="visible" name="➕ Мои критерии" sheetId="3" r:id="rId6"/>
    <sheet state="visible" name="🏆 Итог+" sheetId="4" r:id="rId7"/>
    <sheet state="visible" name="Расчет" sheetId="5" r:id="rId8"/>
    <sheet state="hidden" name="_Списки" sheetId="6" r:id="rId9"/>
    <sheet state="visible" name="📂 Данные" sheetId="7" r:id="rId10"/>
  </sheets>
  <definedNames/>
  <calcPr/>
  <extLst>
    <ext uri="GoogleSheetsCustomDataVersion2">
      <go:sheetsCustomData xmlns:go="http://customooxmlschemas.google.com/" r:id="rId11" roundtripDataChecksum="YaALqPR8gs3g7J6UKsWF8Gv8L7ec2NkcgrgmdgSvo7Y="/>
    </ext>
  </extLst>
</workbook>
</file>

<file path=xl/sharedStrings.xml><?xml version="1.0" encoding="utf-8"?>
<sst xmlns="http://schemas.openxmlformats.org/spreadsheetml/2006/main" count="766" uniqueCount="245">
  <si>
    <t>SADI  ·  Инструкция пользователя  ·  Вектор развития консалтинга</t>
  </si>
  <si>
    <t>Скоринговая модель · 19 отраслей · данные 2015–2024 · горизонт до 2034 · Технологии Доверия</t>
  </si>
  <si>
    <t>🎯 Что такое SADI?</t>
  </si>
  <si>
    <t>Industry Analytics Demand Index - взвешенная сумма нормализованных оценок по 9 критериям в 4 блоках.
Формула: SADI = 0.35×B1 + 0.20×B2 + 0.30×B3 + 0.15×B4
Чем выше SADI - тем выше потенциал отрасли.</t>
  </si>
  <si>
    <t>📊 4 блока критериев</t>
  </si>
  <si>
    <t>B1 - Экономика (35%): доля ВВП, индекс производства, инвестиции, численность
B2 - Процессы (20%): зарплата, производительность труда
B3 - Цифровизация (30%): рентабельность продаж, рост производства
B4 - Регуляторика (15%): налоговая нагрузка, доля убыточных организаций</t>
  </si>
  <si>
    <t>🗂️ Структура файла</t>
  </si>
  <si>
    <t>Расчет - служебный лист (не редактировать!)
📖 Как пользоваться - эта страница
Рейтинг и прогноз - ГЛАВНЫЙ лист: выберите сценарий (E6) и отрасль (J6)
➕ Мои критерии - добавьте до 5 собственных критериев
🏆 Итог+ - расширенный рейтинг с вашими критериями
📂 Данные - исходный датасет 2015-2024</t>
  </si>
  <si>
    <t>🔧 Как работать</t>
  </si>
  <si>
    <t>1. Откройте лист «Рейтинг и прогноз»
2. Ячейка E6 - нажмите и выберите сценарий из выпадающего списка
3. Ячейка J6 - нажмите и выберите отрасль из выпадающего списка
4. Рейтинг и профиль справа обновятся автоматически
Сценарии:
• Базовый (B1=35% B2=20% B3=30% B4=15%)
• Экономический (B1=50%)
• Технологический (B3=55%)
• Регуляторный (B4=25%)</t>
  </si>
  <si>
    <t>➕ Мои критерии</t>
  </si>
  <si>
    <t>Лист «➕ Мои критерии»:
· Строка 6 - введите название критерия и вес (%)
· Строки 8–26 - оценки 1–5 для каждой отрасли
· Нормализация считается автоматически
· Суммарный вес не более 30%
· Результат → лист «🏆 Итог+»</t>
  </si>
  <si>
    <t>✅ Приоритеты</t>
  </si>
  <si>
    <t>A - SADI ≥ 0.55  →  безусловный приоритет
B - SADI 0.40–0.54  →  перспективная ниша
C - SADI &lt; 0.40  →  нишевый приоритет</t>
  </si>
  <si>
    <t>SADI  ·  Скоринговая модель  ·  Вектор развития консалтинга  ·  Технологии Доверия</t>
  </si>
  <si>
    <t>📊  РЕЙТИНГ ОТРАСЛЕЙ  ·  прогноз на 3 / 5 / 10 лет</t>
  </si>
  <si>
    <t>🔍  ПРОФИЛЬ ОТРАСЛИ</t>
  </si>
  <si>
    <t>⚙️  Управление моделью</t>
  </si>
  <si>
    <t>Сценарий:</t>
  </si>
  <si>
    <t>Регуляторный (Б4=25%)</t>
  </si>
  <si>
    <t>← из списка</t>
  </si>
  <si>
    <t>Выберите отрасль:</t>
  </si>
  <si>
    <t>Оборонно-промышленный комплекс</t>
  </si>
  <si>
    <t>Веса блоков:</t>
  </si>
  <si>
    <t>Сценарий профиля:</t>
  </si>
  <si>
    <t>#</t>
  </si>
  <si>
    <t>Отрасль</t>
  </si>
  <si>
    <t>3 года
(2027)</t>
  </si>
  <si>
    <t>5 лет
(2029)</t>
  </si>
  <si>
    <t>10 лет
(2034)</t>
  </si>
  <si>
    <t>SADI 2024 (база):</t>
  </si>
  <si>
    <t>Нефтегазовый комплекс</t>
  </si>
  <si>
    <t>Финансы и страхование</t>
  </si>
  <si>
    <t>ПРОГНОЗ SADI</t>
  </si>
  <si>
    <t>Фармацевтика</t>
  </si>
  <si>
    <t>3 года  (2027)</t>
  </si>
  <si>
    <t>Обрабатывающая промышленность</t>
  </si>
  <si>
    <t>5 лет   (2029)</t>
  </si>
  <si>
    <t>Металлургия</t>
  </si>
  <si>
    <t>10 лет  (2034)</t>
  </si>
  <si>
    <t>Здравоохранение</t>
  </si>
  <si>
    <t>Торговля</t>
  </si>
  <si>
    <t>Тренд (наклон/год):</t>
  </si>
  <si>
    <t>Недвижимость</t>
  </si>
  <si>
    <t>Медиа и рекламные технологии</t>
  </si>
  <si>
    <t>ОЦЕНКА ПО БЛОКАМ (2024)</t>
  </si>
  <si>
    <t>Химическая промышленность</t>
  </si>
  <si>
    <t>Б1 - Экономика</t>
  </si>
  <si>
    <t>АПК и пищевая промышленность</t>
  </si>
  <si>
    <t>Б2 - Процессы</t>
  </si>
  <si>
    <t>Туризм и гостеприимство</t>
  </si>
  <si>
    <t>Б3 - Цифровизация</t>
  </si>
  <si>
    <t>Транспорт и логистика</t>
  </si>
  <si>
    <t>Б4 - Регуляторика</t>
  </si>
  <si>
    <t>Строительство</t>
  </si>
  <si>
    <t>Образование</t>
  </si>
  <si>
    <t>КЛЮЧЕВЫЕ ФАКТОРЫ</t>
  </si>
  <si>
    <t>ЖКХ</t>
  </si>
  <si>
    <t>ИТ и телекоммуникации</t>
  </si>
  <si>
    <t>Энергетика</t>
  </si>
  <si>
    <t>⚡ Прогноз: линейная экстраполяция тренда SADI 2015–2024</t>
  </si>
  <si>
    <t>ЛЕГЕНДА</t>
  </si>
  <si>
    <t>▓ ВЫСОКИЙ ≥50%</t>
  </si>
  <si>
    <t>▒ СРЕДНИЙ 30–50%</t>
  </si>
  <si>
    <t>░ НИЗКИЙ &lt;30%</t>
  </si>
  <si>
    <t>Желтые - ввод</t>
  </si>
  <si>
    <t>➕  Мои критерии  -  добавьте собственные факторы к базовому SADI</t>
  </si>
  <si>
    <t>Введите название, вес (%) и оценки 1–5 для каждой отрасли. Нормализация считается автоматически. Результат - в листе «🏆 Итог+»</t>
  </si>
  <si>
    <t>Название:</t>
  </si>
  <si>
    <t>Критерий 1</t>
  </si>
  <si>
    <t>Вес (%)</t>
  </si>
  <si>
    <t>Критерий 2</t>
  </si>
  <si>
    <t>Критерий 3</t>
  </si>
  <si>
    <t>Критерий 4</t>
  </si>
  <si>
    <t>Критерий 5</t>
  </si>
  <si>
    <t>Вес (%):</t>
  </si>
  <si>
    <t>ИИ новое</t>
  </si>
  <si>
    <t>Мой критерий 2</t>
  </si>
  <si>
    <t>Мой критерий 3</t>
  </si>
  <si>
    <t>Мой критерий 4</t>
  </si>
  <si>
    <t>Мой критерий 5</t>
  </si>
  <si>
    <t>Колонки:</t>
  </si>
  <si>
    <t>Оценка (1–5)</t>
  </si>
  <si>
    <t>Норм.</t>
  </si>
  <si>
    <t>⚠️  Суммарный вес не более 30%. Результат смотрите в листе «🏆 Итог+»</t>
  </si>
  <si>
    <t>🏆  Итог+  ·  SADI (5 лет) + ваши критерии  ·  Расширенный рейтинг</t>
  </si>
  <si>
    <t>Итог+ = SADI_5лет + вклад критериев 1–5  ·  Автоматический пересчет при изменении оценок в «➕ Мои критерии»</t>
  </si>
  <si>
    <t>Ранг</t>
  </si>
  <si>
    <t>SADI 5л</t>
  </si>
  <si>
    <t>+ Крит.1</t>
  </si>
  <si>
    <t>+ Крит.2</t>
  </si>
  <si>
    <t>+ Крит.3</t>
  </si>
  <si>
    <t>+ Крит.4</t>
  </si>
  <si>
    <t>+ Крит.5</t>
  </si>
  <si>
    <t>ИТОГ+</t>
  </si>
  <si>
    <t>Δ ранг</t>
  </si>
  <si>
    <t>Приоритет</t>
  </si>
  <si>
    <t>SADI_b</t>
  </si>
  <si>
    <t>s3_b</t>
  </si>
  <si>
    <t>s5_b</t>
  </si>
  <si>
    <t>s10_b</t>
  </si>
  <si>
    <t>slope_b</t>
  </si>
  <si>
    <t>B1</t>
  </si>
  <si>
    <t>B2</t>
  </si>
  <si>
    <t>B3</t>
  </si>
  <si>
    <t>B4</t>
  </si>
  <si>
    <t>strength</t>
  </si>
  <si>
    <t>trend</t>
  </si>
  <si>
    <t>SADI_e</t>
  </si>
  <si>
    <t>s3_e</t>
  </si>
  <si>
    <t>s5_e</t>
  </si>
  <si>
    <t>s10_e</t>
  </si>
  <si>
    <t>slope_e</t>
  </si>
  <si>
    <t>SADI_t</t>
  </si>
  <si>
    <t>s3_t</t>
  </si>
  <si>
    <t>s5_t</t>
  </si>
  <si>
    <t>s10_t</t>
  </si>
  <si>
    <t>slope_t</t>
  </si>
  <si>
    <t>SADI_r</t>
  </si>
  <si>
    <t>s3_r</t>
  </si>
  <si>
    <t>s5_r</t>
  </si>
  <si>
    <t>s10_r</t>
  </si>
  <si>
    <t>slope_r</t>
  </si>
  <si>
    <t>▸ Экономика: 36%   ▸ Цифровизация: 52%   ▸ Регуляторика: 45%</t>
  </si>
  <si>
    <t>→ Стабильно</t>
  </si>
  <si>
    <t>▸ Экономика: 30%   ▸ Цифровизация: 43%   ▸ Регуляторика: 56%</t>
  </si>
  <si>
    <t>▸ Экономика: 20%   ▸ Цифровизация: 50%   ▸ Регуляторика: 54%</t>
  </si>
  <si>
    <t>▸ Экономика: 20%   ▸ Цифровизация: 61%   ▸ Регуляторика: 55%</t>
  </si>
  <si>
    <t>▸ Экономика: 55%   ▸ Цифровизация: 34%   ▸ Регуляторика: 36%</t>
  </si>
  <si>
    <t>▸ Экономика: 17%   ▸ Цифровизация: 74%   ▸ Регуляторика: 4%</t>
  </si>
  <si>
    <t>▸ Экономика: 49%   ▸ Цифровизация: 31%   ▸ Регуляторика: 28%</t>
  </si>
  <si>
    <t>▸ Экономика: 47%   ▸ Цифровизация: 23%   ▸ Регуляторика: 40%</t>
  </si>
  <si>
    <t>▸ Экономика: 31%   ▸ Цифровизация: 39%   ▸ Регуляторика: 45%</t>
  </si>
  <si>
    <t>▸ Экономика: 20%   ▸ Цифровизация: 37%   ▸ Регуляторика: 43%</t>
  </si>
  <si>
    <t>▸ Экономика: 15%   ▸ Цифровизация: 49%   ▸ Регуляторика: 32%</t>
  </si>
  <si>
    <t>▸ Экономика: 26%   ▸ Цифровизация: 43%   ▸ Регуляторика: 35%</t>
  </si>
  <si>
    <t>▸ Экономика: 16%   ▸ Цифровизация: 28%   ▸ Регуляторика: 64%</t>
  </si>
  <si>
    <t>▸ Экономика: 31%   ▸ Цифровизация: 27%   ▸ Регуляторика: 30%</t>
  </si>
  <si>
    <t>▸ Экономика: 29%   ▸ Цифровизация: 27%   ▸ Регуляторика: 36%</t>
  </si>
  <si>
    <t>▸ Экономика: 26%   ▸ Цифровизация: 25%   ▸ Регуляторика: 34%</t>
  </si>
  <si>
    <t>▸ Экономика: 17%   ▸ Цифровизация: 26%   ▸ Регуляторика: 39%</t>
  </si>
  <si>
    <t>▸ Экономика: 5%   ▸ Цифровизация: 9%   ▸ Регуляторика: 49%</t>
  </si>
  <si>
    <t>▸ Экономика: 18%   ▸ Цифровизация: 29%   ▸ Регуляторика: 11%</t>
  </si>
  <si>
    <t>📂  Исходный датасет  ·  19 отраслей  ·  2015–2024  ·  Только для чтения</t>
  </si>
  <si>
    <t>Идентификация</t>
  </si>
  <si>
    <t>Блок 1 - Экономика (35%)</t>
  </si>
  <si>
    <t>Блок 2 - Процессы (20%)</t>
  </si>
  <si>
    <t>Блок 4 - Регуляторика (15%)</t>
  </si>
  <si>
    <t>Дополнительно</t>
  </si>
  <si>
    <t>ID</t>
  </si>
  <si>
    <t>Блок</t>
  </si>
  <si>
    <t>Год</t>
  </si>
  <si>
    <t>ВВП (%)</t>
  </si>
  <si>
    <t>Инд.Пр-ва</t>
  </si>
  <si>
    <t>Инвест.(млрд)</t>
  </si>
  <si>
    <t>Числен.(тыс.)</t>
  </si>
  <si>
    <t>Зарплата(руб.)</t>
  </si>
  <si>
    <t>Пр.Труда(%)</t>
  </si>
  <si>
    <t>Рентаб.(%)</t>
  </si>
  <si>
    <t>Нал.Нагр.(%)</t>
  </si>
  <si>
    <t>Убыточн.(%)</t>
  </si>
  <si>
    <t>Источники</t>
  </si>
  <si>
    <t>-</t>
  </si>
  <si>
    <t>1)https://www.eprussia.ru/news/base/2017/9748035.htm
2)https://www.interfax.ru/business/488240
3)https://www.cdu.ru/tek_russia/issue/2024/5/1271/
4)https://www.m-economy.ru/art.php?nArtId=5632
5)https</t>
  </si>
  <si>
    <t>1)https://www.eprussia.ru/news/base/2017/9748035.htm
2)https://www.interfax.ru/business/543922
3)https://www.cdu.ru/tek_russia/issue/2024/5/1271/
4)https://ekam-journal.com/images/2022/2-2022/Gaifulli</t>
  </si>
  <si>
    <t>1)https://ria.ru/20220720/gaz-1803906901.html
2)https://www.cdu.ru/tek_russia/issue/2018/3/471/
3)https://www.cdu.ru/tek_russia/issue/2024/5/1271/
4)https://www.spkngk.ru/fileadmin/f/activity/monitori</t>
  </si>
  <si>
    <t>1)https://ria.ru/20220720/gaz-1803906901.html
2)https://www.cdu.ru/tek_russia/issue/2019/3/586/
3)https://www.cdu.ru/tek_russia/issue/2024/5/1271/
4)https://www.spkngk.ru/fileadmin/f/activity/monitori</t>
  </si>
  <si>
    <t>1)https://ria.ru/20220720/gaz-1803906901.html
2)https://www.interfax.ru/business/690054
3)https://www.cdu.ru/tek_russia/issue/2024/5/1271/
4)https://www.spkngk.ru/fileadmin/f/activity/monitoring-rynka</t>
  </si>
  <si>
    <t>1)https://ria.ru/20220720/gaz-1803906901.html
2)https://www.rbc.ru/economics/02/01/2021/5ff01e859a794777a8796392
3)https://www.cdu.ru/tek_russia/issue/2024/5/1271/
4)https://www.spkngk.ru/fileadmin/f/</t>
  </si>
  <si>
    <t>1)https://rosstat.gov.ru/folder/313/document/174229
2)https://www.interfax.ru/business/813696
3)https://www.cdu.ru/tek_russia/issue/2024/5/1271/
4)https://www.spkngk.ru/fileadmin/f/activity/monitoring</t>
  </si>
  <si>
    <t>1)https://rg.ru/2023/04/07/rosstat-vo-vtoroj-ocenke-vvp-za-2022-god-snizil-doliu-neftegazovogo-sektora.html
2)https://www.cdu.ru/tek_russia/articles/1/1118/
3)https://www.cdu.ru/tek_russia/issue/2024/</t>
  </si>
  <si>
    <t>1)https://www.kommersant.ru/doc/6632852
2)https://morvesti.ru/themes/1694/108219/
4)https://www.spkngk.ru/fileadmin/f/activity/monitoring-rynka-truda/Monitoring/Monitoring_rynka_truda_v_ngk_2024.pdf
5</t>
  </si>
  <si>
    <t>1)https://strategra.ru/news/tpost/m4a7xx8z91-vvp-rossii-v-2024-godu
2)https://statbase.ru/data/rus-oil-production/
3)https://www.cdu.ru/tek_russia/issue/2024/5/1271/
4)https://www.spkngk.ru/fileadmin/</t>
  </si>
  <si>
    <t>1)https://rg.ru/2016/10/02/zapadnye-ogranicheniia-zastavili-otechestvennyh-metallurgov-snizit-ceny.html
2)https://riarating.ru/files/ratings/metallurgy_demo45.pdf
3)https://cyberleninka.ru/article/n/i</t>
  </si>
  <si>
    <t>1)https://s.econf.rae.ru/pdf/2017/05/6225.pdf
2)https://riarating.ru/files/ratings/metallurgy_demo45.pdf
5)https://www.rosstat.gov.ru/labor_market_employment_salaries
7)https://www.consultant.ru/docum</t>
  </si>
  <si>
    <t>1)https://cyberleninka.ru/article/n/statisticheskiy-analiz-deyatelnosti-metallurgicheskogo-sektora/viewer
2)https://riarating.ru/files/ratings/metallurgy_demo45.pdf
3)https://vestnik.utmn.ru/upload/ib</t>
  </si>
  <si>
    <t>1)https://www.kommersant.ru/doc/3947600
2)https://riarating.ru/files/ratings/metallurgy_demo45.pdf
3)https://riarating.ru/industry_newsletters/20190403/630122342.html
4)https://elar.urfu.ru/bitstream/</t>
  </si>
  <si>
    <t>1)https://elar.urfu.ru/bitstream/10995/133910/1/978-5-91256-641-7_2023_159.pdf
2)https://riarating.ru/files/ratings/metallurgy_demo45.pdf
3)https://rg.ru/2019/11/11/investicii-v-predpriiatiia-metallur</t>
  </si>
  <si>
    <t>1)https://na-journal.ru/3-2021-ekonomika-menedzhment/3223-statisticheskii-obzor-i-perspektivy-razvitiya-metallurgicheskogo-sektora-na-mirovom-i-rossiiskom-rynkah?ysclid=mpdur3dkht282434602
2)https://r</t>
  </si>
  <si>
    <t>1)https://na-journal.ru/3-2021-ekonomika-menedzhment/3223-statisticheskii-obzor-i-perspektivy-razvitiya-metallurgicheskogo-sektora-na-mirovom-i-rossiiskom-rynkah?ysclid=mpdur3dkht282434602
2)https://m</t>
  </si>
  <si>
    <t>1)https://na-journal.ru/3-2021-ekonomika-menedzhment/3223-statisticheskii-obzor-i-perspektivy-razvitiya-metallurgicheskogo-sektora-na-mirovom-i-rossiiskom-rynkah?ysclid=mpdur3dkht282434602
2)https://w</t>
  </si>
  <si>
    <t>1)https://news.rambler.ru/community/53119612-den-21-iyulya-v-istorii/
2)https://www.tadviser.ru/index.php/Статья:Металлургия_в_России?ysclid=mpdv3tv28v37960996
3)https://www.economy.gov.ru/material/fi</t>
  </si>
  <si>
    <t>1)https://cyberleninka.ru/article/n/znachimost-himicheskogo-kompleksa-dlya-ekonomiki-rf
2)http://government.ru/info/22664/
4)https://www.fedstat.ru/indicator/43007
5)https://www.rosstat.gov.ru/labor_m</t>
  </si>
  <si>
    <t>1)https://ecfor.ru/wp-content/uploads/2019/05/innovatsionnost-kak-faktor-konkurentosposobnosti-himicheskogo-kompleksa-rossii.pdf
2)http://government.ru/info/27207/
3)https://www.eg-online.ru/article/4</t>
  </si>
  <si>
    <t>2)https://www.rccnews.ru/ru/news/plastics/101739/
3)https://rupec.ru/news/39315/
5)https://www.rosstat.gov.ru/labor_market_employment_salaries
6)https://www.rosstat.gov.ru/folder/11186
7)https://www.c</t>
  </si>
  <si>
    <t>2)https://www.mrc.ru/news/348437-indeks-himicheskogo-proizvodstva-v-rossii-viros-na-27-percent-v-2018-godu
3)https://ru.ruwiki.ru/wiki/Химическая_промышленность_России
5)https://www.rosstat.gov.ru/lab</t>
  </si>
  <si>
    <t>1)https://www.eg-online.ru/article/408616/
2)https://web.archive.org/web/20200125045109/https://gks.ru/bgd/free/B04_03/IssWWW.exe/Stg/d05/10.htm
3)http://vestkhimprom.ru/posts/pogovorim-ob-investitsiy</t>
  </si>
  <si>
    <t>1)https://производительность.рф/documents/1587/Итоговый_аналитический_отчет.pdf
2)https://sdelanounas.ru/blogs/139075/
4)https://www.rosstat.gov.ru/storage/mediabank/Prom_2025.pdf
5)https://www.rossta</t>
  </si>
  <si>
    <t>1)https://1economic.ru/lib/116946
2)https://rupec.ru/news/46412/?ysclid=mpdxzklo4n790677467
4)https://www.rosstat.gov.ru/storage/mediabank/Prom_2025.pdf
5)https://www.rosstat.gov.ru/labor_market_emplo</t>
  </si>
  <si>
    <t>1)https://delprof.ru/press-center/open-analytics/khimicheskaya-otrasl-rossii-2025-transformaciya-vyzovy-i-strategiya-rosta/
2)https://cyberleninka.ru/article/n/analiz-sovremennogo-sostoyaniya-i-ugroz-</t>
  </si>
  <si>
    <t>1)https://www.eg-online.ru/article/479800/
2)https://cyberleninka.ru/article/n/analiz-sovremennogo-sostoyaniya-i-ugroz-razvitiyu-himicheskoy-promyshlennosti-v-kontekste-ekonomicheskoy-bezopasnosti-ros</t>
  </si>
  <si>
    <t>1) https://statbase.ru/data/rus-agriculture-and-fishing-value-added-share/
2) https://rosstat.gov.ru/storage/mediabank/Index_proizv_truda%2808102025%29.xlsx
3) https://eec.eaeunion.org/upload/iblock/5</t>
  </si>
  <si>
    <t>1) https://www.ra-national.ru/wp-content/uploads/2025/09/nra_stroitelnaja_otrasl_obzor_sentjabr_2025_verst.pdf?ysclid=mpibtyq68640215942
2) https://rosstat.gov.ru/storage/mediabank/Index_proizv_truda%</t>
  </si>
  <si>
    <t>1) https://rosstat.gov.ru/folder/210/document/13221
2) https://rosstat.gov.ru/storage/mediabank/Index_proizv_truda%2808102025%29.xlsx
3) https://view.officeapps.live.com/op/view.aspx?src=https%3A%2F%2</t>
  </si>
  <si>
    <t>1. https://statbase.ru/data/rus-health-expenditure-gdp-share/
2. https://www.iep.ru/files/text/trends/2025/book_2024.pdf
3. https://statbase.ru/datasets/national-statistics-of-russia/finance-taxes-b</t>
  </si>
  <si>
    <r>
      <rPr>
        <rFont val="Arial"/>
        <color rgb="FF000000"/>
        <sz val="9.0"/>
      </rPr>
      <t xml:space="preserve">1. https://statbase.ru/data/rus-health-expenditure-gdp-share/
2. https://www.iep.ru/files/text/trends/2025/book_2024.pdf
3. </t>
    </r>
    <r>
      <rPr>
        <rFont val="Arial"/>
        <color rgb="FF1155CC"/>
        <sz val="9.0"/>
        <u/>
      </rPr>
      <t>https://statbase.ru/datasets/national-statistics-of-russia/finance-taxes-b</t>
    </r>
  </si>
  <si>
    <t>1. https://www.vshouz.ru/upload/iblock/aa0/vt1ah5z683vqoulek7p8ykcr3sd6nf83/BYUDZHET-ZDRAV-2025_-2027_zaklyuchenie_06-10-2024_-_2_.pdf         2. https://www.iep.ru/files/text/trends/2025/book_2024.pd</t>
  </si>
  <si>
    <t xml:space="preserve">
1. https://statbase.ru/data/rus-education-expenditure-share-of-gdp/
2. https://businesstat.ru/images/demo/commercial_higher_education_russia_demo_businesstat.pdf
https://rosstat.gov.ru/folder/313/do</t>
  </si>
  <si>
    <t xml:space="preserve">1. https://www.tadviser.ru/index.php/Статья:_ИТ-рынок_России
https://economy.gov.ru/material/file/450ce3f2da1ecf8a6ec8f4e9fd0cbdd3/Prognoz2024.pdf
https://www.hse.ru/mirror/pubs/share/892396113.pdf
</t>
  </si>
  <si>
    <t>1. https://cyberleninka.ru/article/n/finansovyy-sektor-ekonomiki-dinamika-i-faktory-razvitiya
2. https://cyberleninka.ru/article/n/issledovanie-strategicheskih-prioritetov-i-strukturnoy-transformatsi</t>
  </si>
  <si>
    <t>1. https://www.tadviser.ru/index.php/Статья:Реклама_%28рынок_России%29
https://delprof.ru/press-center/open-analytics/reklamnyj-rynok-rossii/
2. https://www.vedomosti.ru/media/articles/2025/03/27/11</t>
  </si>
  <si>
    <t>1) https://cyberleninka.ru/article/n/analiz-roli-oboronno-promyshlennogo-kompleksa-v-ekonomike-rossii/viewer
2) https://www.consultant.ru/document/cons_doc_LAW_381114/a317f928f87598e0c39e3c6a836d5aee7</t>
  </si>
  <si>
    <t>https://docs.yandex.ru/docs/view?url=ya-browser%3A%2F%2F4DT1uXEPRrJRXlUFoewruHGkJNp6sqhUw2HCQrS04DHo7cNt4f7YB2yNGUuCSfIDgo50mGtscrvgp_bMSPJVd0VAiDKCaBncIUPHEDCqDimWHyffL-GA7JwTFUPU3a15ImEBv2I0cqzGTv2z</t>
  </si>
  <si>
    <t>https://rosstat.gov.ru/folder/313/document/254129</t>
  </si>
  <si>
    <t>https://rosstat.gov.ru/storage/mediabank/Ejegodnik_2022.pdf</t>
  </si>
  <si>
    <t>https://rosstat.gov.ru/storage/mediabank/Ejegodnik_2019.pdf</t>
  </si>
  <si>
    <t>https://docs.yandex.ru/docs/view?url=ya-browser%3A%2F%2F4DT1uXEPRrJRXlUFoewruOKrnrSNnbN0iGZdqD4WHciZTn57KVK9hJTXHGeMuTfgZASPr91ejgYICKE_hSq1GJPjLU9jKfCacJ9gwQvA4bO27-6mHOruu16Yr0OP4yIAtLU-pywZ896KBlcUcIBLZQ%3D%3D%3Fsign%3DChYrqdz3YxwEvCeE8G-xs3KAU-i5evyB07g6MflslQM%3D&amp;name=Index_proizv_truda(10042026).xlsx&amp;nosw=1</t>
  </si>
  <si>
    <t>https://docs.yandex.ru/docs/view?url=ya-browser%3A%2F%2F4DT1uXEPRrJRXlUFoewruL0gBIF0eb5kRon24f8IL83kvsdQI1yzTDOUAndaHitB0--wf20Jo5UPJV6TiO1_ObNxtrxRc3BZzGt6lgcpl9_sjqqxuAiqjt51TNI1vdF7MXZkVb4RThWwNgJHgRE3gw%3D%3D%3Fsign%3D1rYh-L01mYvbv_YYQJp4-BHBpye0AMUJd8kLsh_FL4w%3D&amp;name=Index_proizv_truda(10042026).xlsx&amp;nosw=1</t>
  </si>
  <si>
    <t>https://www.audit-it.ru/inform/zarplata/index.php?id_region=27</t>
  </si>
  <si>
    <t>https://sber.pro/publication/barometr-otrasli-farmatsevticheskaya-otrasl-rossii/</t>
  </si>
  <si>
    <t>https://bankiros.ru/wiki/term/struktura-vvp-rossii-po-otraslam</t>
  </si>
  <si>
    <t>https://rosstat.gov.ru/storage/mediabank/Finans_2024.pdf</t>
  </si>
  <si>
    <t>https://cyberleninka.ru/article/n/farmatsevticheskaya-otrasl-v-rf-problemy-i-perspektivy-razvitiya/viewer</t>
  </si>
  <si>
    <t xml:space="preserve"> https://www.consultant.ru/document/cons_doc_LAW_55729/1c86de95dd6adc8f19b3dca4696576bd43c2afb1/</t>
  </si>
  <si>
    <t>https://rosstat.gov.ru/storage/mediabank/Index_proizv_truda(08102025).xlsx</t>
  </si>
  <si>
    <t>https://docs.yandex.ru/docs/view?url=ya-browser%3A%2F%2F4DT1uXEPRrJRXlUFoewruAwfBYjunu-cJNeUd4gQ1MrWEyGWCshhe43LSCy8impSTsBFc82SCU5h1vuMF1l3QxaUihT9Le0YWrenN1UXHRgLZql5vwEsUgfmvyxvKyUPhprOsOOL7miDP4Hx</t>
  </si>
  <si>
    <t>https://rosstat.gov.ru/labor_market_employment_salaries</t>
  </si>
  <si>
    <t xml:space="preserve"> https://rosstat.gov.ru/storage/mediabank/Trud_2025.pdf</t>
  </si>
  <si>
    <t>https://rosstat.gov.ru/investment_nonfinancial</t>
  </si>
  <si>
    <t>https://rosstat.gov.ru/storage/mediabank/Prom_2025.pdf</t>
  </si>
  <si>
    <t>https://docs.yandex.ru/docs/view?url=ya-browser%3A%2F%2F4DT1uXEPRrJRXlUFoewruEBeG-d7z7pQNm2WbO6PNWL-oXRdbvU8yLwtqdSRHvCUDl3rABlEbQPVLI2kIgSfa1YTW_L-Pa-pWyxYgm88rZd5WGNzHEYpeJnZdPuO22t-PpE5eEHkjI5fIJGK</t>
  </si>
  <si>
    <t>https://www.consultant.ru/document/cons_doc_LAW_55729/0e9f3c6aeb49362ca20996710a02f80c375b0ef4/</t>
  </si>
  <si>
    <t xml:space="preserve"> https://rosstat.gov.ru/storage/mediabank/Finans_2024.pdf</t>
  </si>
  <si>
    <t>https://statbase.ru/datasets/national-statistics-of-russia/economics/manufacturing-industry-by-region-national-stat/</t>
  </si>
  <si>
    <t>https://www.kommersant.ru/doc/8141190</t>
  </si>
  <si>
    <t>https://issek.hse.ru/news/1046793074.html</t>
  </si>
  <si>
    <t>https://ru.tradingeconomics.com/russia/manufacturing-production</t>
  </si>
  <si>
    <t>https://www.rbc.ru/economics/05/02/2025/67a3a2539a7947722d45315b</t>
  </si>
  <si>
    <t>https://спк-жкх.рф/assets/uploads/sravnitelnyi-analiz-zarabotnyh-plat-v-otrasli-zhkh.pdf</t>
  </si>
  <si>
    <t>https://www.consultant.ru/document/cons_doc_LAW_55729/1c86de95dd6adc8f19b3dca4696576bd43c2afb1/</t>
  </si>
  <si>
    <t>https://rosstat.gov.ru/labour_force</t>
  </si>
  <si>
    <t>https://uncia.ru/upload/docs/2024/Никулина%20Светлана.pdf</t>
  </si>
  <si>
    <t>https://www.mk.ru/realestate/2025/10/13/stalo-izvestno-v-kakikh-gorodakh-rossii-samaya-dorogaya-kommunalka.html</t>
  </si>
  <si>
    <t>https://www.fedstat.ru/indicator/34038</t>
  </si>
  <si>
    <t>https://docs.yandex.ru/docs/view?url=ya-browser%3A%2F%2F4DT1uXEPRrJRXlUFoewruHq6n7q_WZBRlvc1bZr-qCKpFqAGZI82fSn9Mb_Y5OhgeYM3sROur9BGR8eGTN_XLwbhgmi6yDlNvtPta5K5dp3kfT9xf82mHfdISGTzToDvajYC9U34lxyHtUKX</t>
  </si>
  <si>
    <t>https://rosstat.gov.ru/storage/mediabank/Jil_hoz_2025.pdf</t>
  </si>
  <si>
    <t>https://t-j.ru/zakroy-vodu-stat-2025/?utm_referrer=https%3A%2F%2Fyandex.ru%2F</t>
  </si>
  <si>
    <t>https://docs.yandex.ru/docs/view?url=ya-browser%3A%2F%2F4DT1uXEPRrJRXlUFoewruAhLARpjE5Z59TjmCnGK2geVQwdpTHUjL4O1zHK5sVRu1Hkfexh3KlhBxwJ-5mHfEAUnFVuC6A5DPU92uD_w32Y7pFpus4kie5G_s9zEUpqCvU4PofaPlgUEV8Bs</t>
  </si>
  <si>
    <t>https://национальныепроекты.рф/news/otdykhay-s-komfortom-itogi-natsproekta-turizm-i-gostepriimstvo-v-2025-godu/</t>
  </si>
  <si>
    <t>https://rosstat.gov.ru/statistics/turizm</t>
  </si>
  <si>
    <t>https://mag.russpass.ru/business/rubric/biznes/god-vysokih-dostizhenij-statistika-turisticheskoj-otrasli</t>
  </si>
  <si>
    <t>https://sber.pro/publication/barometr-otrasli-vnutrennii-turizm-i-industriya-gostepriimstva/</t>
  </si>
  <si>
    <t>https://www.economy.gov.ru/material/directions/np_turizm_i_gostepriimstvo/</t>
  </si>
  <si>
    <t>https://cyberleninka.ru/article/n/osnovnye-trendy-v-turizme-i-industrii-gostepriimstva-analitika-problemy-i-perspektivy-na-2026-god</t>
  </si>
  <si>
    <t>https://www.atorus.ru/article/gde-nochevala-strana-neozhidannye-itogi-goda-v-gostinichnom-biznese-66689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</si>
</sst>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0000"/>
    <numFmt numFmtId="166" formatCode="0\%"/>
  </numFmts>
  <fonts count="32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0.0"/>
      <color rgb="FFFFFFFF"/>
      <name val="Arial"/>
    </font>
    <font>
      <sz val="9.0"/>
      <color rgb="FF000000"/>
      <name val="Arial"/>
    </font>
    <font>
      <b/>
      <sz val="12.0"/>
      <color rgb="FFFFFFFF"/>
      <name val="Arial"/>
    </font>
    <font>
      <b/>
      <sz val="11.0"/>
      <color rgb="FFFFFFFF"/>
      <name val="Arial"/>
    </font>
    <font>
      <b/>
      <sz val="10.0"/>
      <color rgb="FF000000"/>
      <name val="Arial"/>
    </font>
    <font>
      <b/>
      <sz val="10.0"/>
      <color rgb="FF2E6DB4"/>
      <name val="Arial"/>
    </font>
    <font>
      <sz val="9.0"/>
      <color rgb="FF999999"/>
      <name val="Arial"/>
    </font>
    <font>
      <sz val="9.0"/>
      <color rgb="FF2E6DB4"/>
      <name val="Arial"/>
    </font>
    <font>
      <b/>
      <sz val="9.0"/>
      <color rgb="FFFFFFFF"/>
      <name val="Arial"/>
    </font>
    <font>
      <b/>
      <sz val="11.0"/>
      <color rgb="FFC8980A"/>
      <name val="Arial"/>
    </font>
    <font>
      <b/>
      <sz val="12.0"/>
      <color rgb="FF1B3A6B"/>
      <name val="Arial"/>
    </font>
    <font>
      <b/>
      <sz val="11.0"/>
      <color rgb="FF4A90D9"/>
      <name val="Arial"/>
    </font>
    <font>
      <b/>
      <sz val="11.0"/>
      <color rgb="FF555555"/>
      <name val="Arial"/>
    </font>
    <font>
      <b/>
      <sz val="9.0"/>
      <color rgb="FF4A90D9"/>
      <name val="Arial"/>
    </font>
    <font>
      <sz val="9.0"/>
      <color rgb="FF1B5E9B"/>
      <name val="Arial"/>
    </font>
    <font>
      <sz val="9.0"/>
      <color rgb="FF1A7A4A"/>
      <name val="Arial"/>
    </font>
    <font>
      <sz val="9.0"/>
      <color rgb="FF8B6010"/>
      <name val="Arial"/>
    </font>
    <font>
      <sz val="9.0"/>
      <color rgb="FF8B1A1A"/>
      <name val="Arial"/>
    </font>
    <font>
      <sz val="8.0"/>
      <color rgb="FF000000"/>
      <name val="Arial"/>
    </font>
    <font>
      <sz val="8.0"/>
      <color rgb="FF999999"/>
      <name val="Arial"/>
    </font>
    <font>
      <sz val="8.0"/>
      <color rgb="FF2E6DB4"/>
      <name val="Arial"/>
    </font>
    <font>
      <sz val="10.0"/>
      <color rgb="FF000000"/>
      <name val="Arial"/>
    </font>
    <font>
      <b/>
      <sz val="11.0"/>
      <color rgb="FF2E6DB4"/>
      <name val="Arial"/>
    </font>
    <font>
      <b/>
      <sz val="11.0"/>
      <color rgb="FF1A1A2E"/>
      <name val="Arial"/>
    </font>
    <font>
      <b/>
      <sz val="10.0"/>
      <color rgb="FF1B3A6B"/>
      <name val="Arial"/>
    </font>
    <font>
      <color theme="1"/>
      <name val="Calibri"/>
      <scheme val="minor"/>
    </font>
    <font>
      <u/>
      <sz val="9.0"/>
      <color rgb="FF000000"/>
      <name val="Arial"/>
    </font>
    <font>
      <u/>
      <sz val="9.0"/>
      <color rgb="FF000000"/>
      <name val="Arial"/>
    </font>
    <font>
      <u/>
      <sz val="9.0"/>
      <color rgb="FF000000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1B3A6B"/>
        <bgColor rgb="FF1B3A6B"/>
      </patternFill>
    </fill>
    <fill>
      <patternFill patternType="solid">
        <fgColor rgb="FF2E6DB4"/>
        <bgColor rgb="FF2E6DB4"/>
      </patternFill>
    </fill>
    <fill>
      <patternFill patternType="solid">
        <fgColor rgb="FFF4F8FD"/>
        <bgColor rgb="FFF4F8FD"/>
      </patternFill>
    </fill>
    <fill>
      <patternFill patternType="solid">
        <fgColor rgb="FF4A90D9"/>
        <bgColor rgb="FF4A90D9"/>
      </patternFill>
    </fill>
    <fill>
      <patternFill patternType="solid">
        <fgColor rgb="FFD6E8F7"/>
        <bgColor rgb="FFD6E8F7"/>
      </patternFill>
    </fill>
    <fill>
      <patternFill patternType="solid">
        <fgColor rgb="FFFFFF99"/>
        <bgColor rgb="FFFFFF99"/>
      </patternFill>
    </fill>
    <fill>
      <patternFill patternType="solid">
        <fgColor rgb="FFEBF4FB"/>
        <bgColor rgb="FFEBF4FB"/>
      </patternFill>
    </fill>
    <fill>
      <patternFill patternType="solid">
        <fgColor rgb="FF1B5E9B"/>
        <bgColor rgb="FF1B5E9B"/>
      </patternFill>
    </fill>
    <fill>
      <patternFill patternType="solid">
        <fgColor rgb="FFCCDFF5"/>
        <bgColor rgb="FFCCDFF5"/>
      </patternFill>
    </fill>
    <fill>
      <patternFill patternType="solid">
        <fgColor rgb="FF1A7A4A"/>
        <bgColor rgb="FF1A7A4A"/>
      </patternFill>
    </fill>
    <fill>
      <patternFill patternType="solid">
        <fgColor rgb="FFC8EDD8"/>
        <bgColor rgb="FFC8EDD8"/>
      </patternFill>
    </fill>
    <fill>
      <patternFill patternType="solid">
        <fgColor rgb="FF8B6010"/>
        <bgColor rgb="FF8B6010"/>
      </patternFill>
    </fill>
    <fill>
      <patternFill patternType="solid">
        <fgColor rgb="FFF5ECC8"/>
        <bgColor rgb="FFF5ECC8"/>
      </patternFill>
    </fill>
    <fill>
      <patternFill patternType="solid">
        <fgColor rgb="FF8B1A1A"/>
        <bgColor rgb="FF8B1A1A"/>
      </patternFill>
    </fill>
    <fill>
      <patternFill patternType="solid">
        <fgColor rgb="FFF5CCCC"/>
        <bgColor rgb="FFF5CCCC"/>
      </patternFill>
    </fill>
    <fill>
      <patternFill patternType="solid">
        <fgColor rgb="FFEAF4FF"/>
        <bgColor rgb="FFEAF4FF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left/>
      <top/>
    </border>
    <border>
      <right/>
      <top/>
    </border>
    <border>
      <left/>
      <right/>
    </border>
    <border>
      <left/>
    </border>
    <border>
      <right/>
    </border>
    <border>
      <left/>
      <right/>
      <bottom/>
    </border>
    <border>
      <left/>
      <bottom/>
    </border>
    <border>
      <right/>
      <bottom/>
    </border>
    <border>
      <left style="thin">
        <color rgb="FFA8C8E8"/>
      </left>
      <right style="thin">
        <color rgb="FFA8C8E8"/>
      </right>
      <top style="thin">
        <color rgb="FFA8C8E8"/>
      </top>
      <bottom style="thin">
        <color rgb="FFA8C8E8"/>
      </bottom>
    </border>
    <border>
      <left style="thin">
        <color rgb="FFA8C8E8"/>
      </left>
      <top style="thin">
        <color rgb="FFA8C8E8"/>
      </top>
      <bottom style="thin">
        <color rgb="FFA8C8E8"/>
      </bottom>
    </border>
    <border>
      <top style="thin">
        <color rgb="FFA8C8E8"/>
      </top>
      <bottom style="thin">
        <color rgb="FFA8C8E8"/>
      </bottom>
    </border>
    <border>
      <right/>
      <top style="thin">
        <color rgb="FFA8C8E8"/>
      </top>
      <bottom style="thin">
        <color rgb="FFA8C8E8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5" fillId="4" fontId="4" numFmtId="0" xfId="0" applyAlignment="1" applyBorder="1" applyFill="1" applyFont="1">
      <alignment horizontal="left" readingOrder="0" shrinkToFit="0" vertical="top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" fillId="2" fontId="5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13" fillId="6" fontId="7" numFmtId="0" xfId="0" applyAlignment="1" applyBorder="1" applyFill="1" applyFont="1">
      <alignment horizontal="left" shrinkToFit="0" vertical="center" wrapText="1"/>
    </xf>
    <xf borderId="13" fillId="7" fontId="8" numFmtId="0" xfId="0" applyAlignment="1" applyBorder="1" applyFill="1" applyFont="1">
      <alignment horizontal="center" readingOrder="0" shrinkToFit="0" vertical="center" wrapText="1"/>
    </xf>
    <xf borderId="0" fillId="0" fontId="9" numFmtId="0" xfId="0" applyAlignment="1" applyFont="1">
      <alignment horizontal="left" shrinkToFit="0" vertical="center" wrapText="1"/>
    </xf>
    <xf borderId="13" fillId="8" fontId="4" numFmtId="0" xfId="0" applyAlignment="1" applyBorder="1" applyFill="1" applyFont="1">
      <alignment horizontal="left" shrinkToFit="0" vertical="center" wrapText="1"/>
    </xf>
    <xf borderId="14" fillId="8" fontId="10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16" fillId="0" fontId="2" numFmtId="0" xfId="0" applyBorder="1" applyFont="1"/>
    <xf borderId="13" fillId="8" fontId="10" numFmtId="0" xfId="0" applyAlignment="1" applyBorder="1" applyFont="1">
      <alignment horizontal="center" shrinkToFit="0" vertical="center" wrapText="1"/>
    </xf>
    <xf borderId="13" fillId="2" fontId="11" numFmtId="0" xfId="0" applyAlignment="1" applyBorder="1" applyFont="1">
      <alignment horizontal="center" shrinkToFit="0" vertical="center" wrapText="1"/>
    </xf>
    <xf borderId="14" fillId="5" fontId="3" numFmtId="0" xfId="0" applyAlignment="1" applyBorder="1" applyFont="1">
      <alignment horizontal="center" shrinkToFit="0" vertical="center" wrapText="1"/>
    </xf>
    <xf borderId="13" fillId="6" fontId="12" numFmtId="0" xfId="0" applyAlignment="1" applyBorder="1" applyFont="1">
      <alignment horizontal="center" shrinkToFit="0" vertical="center" wrapText="1"/>
    </xf>
    <xf borderId="13" fillId="6" fontId="4" numFmtId="0" xfId="0" applyAlignment="1" applyBorder="1" applyFont="1">
      <alignment horizontal="left" shrinkToFit="0" vertical="center" wrapText="1"/>
    </xf>
    <xf borderId="13" fillId="6" fontId="4" numFmtId="164" xfId="0" applyAlignment="1" applyBorder="1" applyFont="1" applyNumberFormat="1">
      <alignment horizontal="center" shrinkToFit="0" vertical="center" wrapText="1"/>
    </xf>
    <xf borderId="13" fillId="8" fontId="13" numFmtId="164" xfId="0" applyAlignment="1" applyBorder="1" applyFont="1" applyNumberFormat="1">
      <alignment horizontal="center" shrinkToFit="0" vertical="center" wrapText="1"/>
    </xf>
    <xf borderId="13" fillId="6" fontId="8" numFmtId="164" xfId="0" applyAlignment="1" applyBorder="1" applyFont="1" applyNumberFormat="1">
      <alignment horizontal="center" shrinkToFit="0" vertical="center" wrapText="1"/>
    </xf>
    <xf borderId="13" fillId="8" fontId="12" numFmtId="0" xfId="0" applyAlignment="1" applyBorder="1" applyFont="1">
      <alignment horizontal="center" shrinkToFit="0" vertical="center" wrapText="1"/>
    </xf>
    <xf borderId="13" fillId="8" fontId="4" numFmtId="164" xfId="0" applyAlignment="1" applyBorder="1" applyFont="1" applyNumberFormat="1">
      <alignment horizontal="center" shrinkToFit="0" vertical="center" wrapText="1"/>
    </xf>
    <xf borderId="13" fillId="8" fontId="14" numFmtId="0" xfId="0" applyAlignment="1" applyBorder="1" applyFont="1">
      <alignment horizontal="center" shrinkToFit="0" vertical="center" wrapText="1"/>
    </xf>
    <xf borderId="13" fillId="4" fontId="4" numFmtId="164" xfId="0" applyAlignment="1" applyBorder="1" applyFont="1" applyNumberFormat="1">
      <alignment horizontal="center" shrinkToFit="0" vertical="center" wrapText="1"/>
    </xf>
    <xf borderId="13" fillId="6" fontId="14" numFmtId="0" xfId="0" applyAlignment="1" applyBorder="1" applyFont="1">
      <alignment horizontal="center" shrinkToFit="0" vertical="center" wrapText="1"/>
    </xf>
    <xf borderId="13" fillId="8" fontId="15" numFmtId="0" xfId="0" applyAlignment="1" applyBorder="1" applyFont="1">
      <alignment horizontal="center" shrinkToFit="0" vertical="center" wrapText="1"/>
    </xf>
    <xf borderId="13" fillId="6" fontId="15" numFmtId="0" xfId="0" applyAlignment="1" applyBorder="1" applyFont="1">
      <alignment horizontal="center" shrinkToFit="0" vertical="center" wrapText="1"/>
    </xf>
    <xf borderId="13" fillId="8" fontId="10" numFmtId="165" xfId="0" applyAlignment="1" applyBorder="1" applyFont="1" applyNumberFormat="1">
      <alignment horizontal="center" shrinkToFit="0" vertical="center" wrapText="1"/>
    </xf>
    <xf borderId="13" fillId="6" fontId="16" numFmtId="0" xfId="0" applyAlignment="1" applyBorder="1" applyFont="1">
      <alignment horizontal="center" shrinkToFit="0" vertical="center" wrapText="1"/>
    </xf>
    <xf borderId="13" fillId="9" fontId="11" numFmtId="0" xfId="0" applyAlignment="1" applyBorder="1" applyFill="1" applyFont="1">
      <alignment horizontal="left" readingOrder="0" shrinkToFit="0" vertical="center" wrapText="1"/>
    </xf>
    <xf borderId="13" fillId="10" fontId="7" numFmtId="164" xfId="0" applyAlignment="1" applyBorder="1" applyFill="1" applyFont="1" applyNumberFormat="1">
      <alignment horizontal="center" shrinkToFit="0" vertical="center" wrapText="1"/>
    </xf>
    <xf borderId="13" fillId="10" fontId="17" numFmtId="0" xfId="0" applyAlignment="1" applyBorder="1" applyFont="1">
      <alignment horizontal="left" shrinkToFit="0" vertical="center" wrapText="1"/>
    </xf>
    <xf borderId="13" fillId="11" fontId="11" numFmtId="0" xfId="0" applyAlignment="1" applyBorder="1" applyFill="1" applyFont="1">
      <alignment horizontal="left" readingOrder="0" shrinkToFit="0" vertical="center" wrapText="1"/>
    </xf>
    <xf borderId="13" fillId="12" fontId="7" numFmtId="164" xfId="0" applyAlignment="1" applyBorder="1" applyFill="1" applyFont="1" applyNumberFormat="1">
      <alignment horizontal="center" shrinkToFit="0" vertical="center" wrapText="1"/>
    </xf>
    <xf borderId="13" fillId="12" fontId="18" numFmtId="0" xfId="0" applyAlignment="1" applyBorder="1" applyFont="1">
      <alignment horizontal="left" shrinkToFit="0" vertical="center" wrapText="1"/>
    </xf>
    <xf borderId="13" fillId="13" fontId="11" numFmtId="0" xfId="0" applyAlignment="1" applyBorder="1" applyFill="1" applyFont="1">
      <alignment horizontal="left" readingOrder="0" shrinkToFit="0" vertical="center" wrapText="1"/>
    </xf>
    <xf borderId="13" fillId="14" fontId="7" numFmtId="164" xfId="0" applyAlignment="1" applyBorder="1" applyFill="1" applyFont="1" applyNumberFormat="1">
      <alignment horizontal="center" shrinkToFit="0" vertical="center" wrapText="1"/>
    </xf>
    <xf borderId="13" fillId="14" fontId="19" numFmtId="0" xfId="0" applyAlignment="1" applyBorder="1" applyFont="1">
      <alignment horizontal="left" shrinkToFit="0" vertical="center" wrapText="1"/>
    </xf>
    <xf borderId="13" fillId="15" fontId="11" numFmtId="0" xfId="0" applyAlignment="1" applyBorder="1" applyFill="1" applyFont="1">
      <alignment horizontal="left" readingOrder="0" shrinkToFit="0" vertical="center" wrapText="1"/>
    </xf>
    <xf borderId="13" fillId="16" fontId="7" numFmtId="164" xfId="0" applyAlignment="1" applyBorder="1" applyFill="1" applyFont="1" applyNumberFormat="1">
      <alignment horizontal="center" shrinkToFit="0" vertical="center" wrapText="1"/>
    </xf>
    <xf borderId="13" fillId="16" fontId="20" numFmtId="0" xfId="0" applyAlignment="1" applyBorder="1" applyFont="1">
      <alignment horizontal="left" shrinkToFit="0" vertical="center" wrapText="1"/>
    </xf>
    <xf borderId="14" fillId="8" fontId="21" numFmtId="0" xfId="0" applyAlignment="1" applyBorder="1" applyFont="1">
      <alignment horizontal="left" shrinkToFit="0" vertical="center" wrapText="1"/>
    </xf>
    <xf borderId="14" fillId="6" fontId="8" numFmtId="0" xfId="0" applyAlignment="1" applyBorder="1" applyFont="1">
      <alignment horizontal="left" shrinkToFit="0" vertical="center" wrapText="1"/>
    </xf>
    <xf borderId="0" fillId="0" fontId="22" numFmtId="0" xfId="0" applyAlignment="1" applyFont="1">
      <alignment shrinkToFit="0" vertical="bottom" wrapText="0"/>
    </xf>
    <xf borderId="1" fillId="2" fontId="11" numFmtId="0" xfId="0" applyAlignment="1" applyBorder="1" applyFont="1">
      <alignment horizontal="center" shrinkToFit="0" vertical="center" wrapText="1"/>
    </xf>
    <xf borderId="13" fillId="6" fontId="23" numFmtId="0" xfId="0" applyAlignment="1" applyBorder="1" applyFont="1">
      <alignment shrinkToFit="0" vertical="bottom" wrapText="0"/>
    </xf>
    <xf borderId="13" fillId="8" fontId="21" numFmtId="0" xfId="0" applyAlignment="1" applyBorder="1" applyFont="1">
      <alignment shrinkToFit="0" vertical="bottom" wrapText="0"/>
    </xf>
    <xf borderId="13" fillId="4" fontId="22" numFmtId="0" xfId="0" applyAlignment="1" applyBorder="1" applyFont="1">
      <alignment shrinkToFit="0" vertical="bottom" wrapText="0"/>
    </xf>
    <xf borderId="13" fillId="7" fontId="21" numFmtId="0" xfId="0" applyAlignment="1" applyBorder="1" applyFont="1">
      <alignment readingOrder="0" shrinkToFit="0" vertical="bottom" wrapText="0"/>
    </xf>
    <xf borderId="1" fillId="2" fontId="6" numFmtId="0" xfId="0" applyAlignment="1" applyBorder="1" applyFont="1">
      <alignment horizontal="center" readingOrder="0" shrinkToFit="0" vertical="center" wrapText="1"/>
    </xf>
    <xf borderId="1" fillId="3" fontId="11" numFmtId="0" xfId="0" applyAlignment="1" applyBorder="1" applyFont="1">
      <alignment horizontal="center" readingOrder="0" shrinkToFit="0" vertical="center" wrapText="1"/>
    </xf>
    <xf borderId="13" fillId="3" fontId="11" numFmtId="0" xfId="0" applyAlignment="1" applyBorder="1" applyFont="1">
      <alignment horizontal="left" shrinkToFit="0" vertical="center" wrapText="1"/>
    </xf>
    <xf borderId="13" fillId="3" fontId="3" numFmtId="0" xfId="0" applyAlignment="1" applyBorder="1" applyFont="1">
      <alignment horizontal="center" shrinkToFit="0" vertical="center" wrapText="1"/>
    </xf>
    <xf borderId="13" fillId="5" fontId="11" numFmtId="0" xfId="0" applyAlignment="1" applyBorder="1" applyFont="1">
      <alignment horizontal="left" shrinkToFit="0" vertical="center" wrapText="1"/>
    </xf>
    <xf borderId="13" fillId="7" fontId="24" numFmtId="0" xfId="0" applyAlignment="1" applyBorder="1" applyFont="1">
      <alignment horizontal="center" readingOrder="0" shrinkToFit="0" vertical="center" wrapText="1"/>
    </xf>
    <xf borderId="13" fillId="7" fontId="25" numFmtId="166" xfId="0" applyAlignment="1" applyBorder="1" applyFont="1" applyNumberFormat="1">
      <alignment horizontal="center" shrinkToFit="0" vertical="center" wrapText="1"/>
    </xf>
    <xf borderId="13" fillId="7" fontId="24" numFmtId="0" xfId="0" applyAlignment="1" applyBorder="1" applyFont="1">
      <alignment horizontal="center" shrinkToFit="0" vertical="center" wrapText="1"/>
    </xf>
    <xf borderId="13" fillId="7" fontId="26" numFmtId="0" xfId="0" applyAlignment="1" applyBorder="1" applyFont="1">
      <alignment horizontal="center" shrinkToFit="0" vertical="center" wrapText="1"/>
    </xf>
    <xf borderId="1" fillId="17" fontId="17" numFmtId="0" xfId="0" applyAlignment="1" applyBorder="1" applyFill="1" applyFont="1">
      <alignment shrinkToFit="0" vertical="bottom" wrapText="0"/>
    </xf>
    <xf borderId="1" fillId="2" fontId="6" numFmtId="0" xfId="0" applyAlignment="1" applyBorder="1" applyFont="1">
      <alignment horizontal="center" shrinkToFit="0" vertical="center" wrapText="1"/>
    </xf>
    <xf borderId="13" fillId="6" fontId="7" numFmtId="0" xfId="0" applyAlignment="1" applyBorder="1" applyFont="1">
      <alignment horizontal="center" shrinkToFit="0" vertical="center" wrapText="1"/>
    </xf>
    <xf borderId="13" fillId="6" fontId="27" numFmtId="164" xfId="0" applyAlignment="1" applyBorder="1" applyFont="1" applyNumberFormat="1">
      <alignment horizontal="center" shrinkToFit="0" vertical="center" wrapText="1"/>
    </xf>
    <xf borderId="13" fillId="6" fontId="4" numFmtId="0" xfId="0" applyAlignment="1" applyBorder="1" applyFont="1">
      <alignment horizontal="center" shrinkToFit="0" vertical="center" wrapText="1"/>
    </xf>
    <xf borderId="13" fillId="8" fontId="7" numFmtId="0" xfId="0" applyAlignment="1" applyBorder="1" applyFont="1">
      <alignment horizontal="center" shrinkToFit="0" vertical="center" wrapText="1"/>
    </xf>
    <xf borderId="13" fillId="8" fontId="4" numFmtId="0" xfId="0" applyAlignment="1" applyBorder="1" applyFont="1">
      <alignment horizontal="center" shrinkToFit="0" vertical="center" wrapText="1"/>
    </xf>
    <xf borderId="0" fillId="0" fontId="28" numFmtId="0" xfId="0" applyFont="1"/>
    <xf borderId="1" fillId="3" fontId="11" numFmtId="0" xfId="0" applyAlignment="1" applyBorder="1" applyFont="1">
      <alignment horizontal="center" shrinkToFit="0" vertical="center" wrapText="1"/>
    </xf>
    <xf borderId="1" fillId="9" fontId="11" numFmtId="0" xfId="0" applyAlignment="1" applyBorder="1" applyFont="1">
      <alignment horizontal="center" readingOrder="0" shrinkToFit="0" vertical="center" wrapText="1"/>
    </xf>
    <xf borderId="1" fillId="11" fontId="11" numFmtId="0" xfId="0" applyAlignment="1" applyBorder="1" applyFont="1">
      <alignment horizontal="center" readingOrder="0" shrinkToFit="0" vertical="center" wrapText="1"/>
    </xf>
    <xf borderId="1" fillId="15" fontId="11" numFmtId="0" xfId="0" applyAlignment="1" applyBorder="1" applyFont="1">
      <alignment horizontal="center" readingOrder="0" shrinkToFit="0" vertical="center" wrapText="1"/>
    </xf>
    <xf borderId="13" fillId="3" fontId="11" numFmtId="0" xfId="0" applyAlignment="1" applyBorder="1" applyFont="1">
      <alignment horizontal="center" shrinkToFit="0" vertical="center" wrapText="1"/>
    </xf>
    <xf borderId="13" fillId="10" fontId="4" numFmtId="0" xfId="0" applyAlignment="1" applyBorder="1" applyFont="1">
      <alignment horizontal="center" shrinkToFit="0" vertical="center" wrapText="1"/>
    </xf>
    <xf borderId="13" fillId="6" fontId="4" numFmtId="0" xfId="0" applyAlignment="1" applyBorder="1" applyFont="1">
      <alignment horizontal="center" readingOrder="0" shrinkToFit="0" vertical="center" wrapText="1"/>
    </xf>
    <xf borderId="13" fillId="8" fontId="4" numFmtId="0" xfId="0" applyAlignment="1" applyBorder="1" applyFont="1">
      <alignment horizontal="center" readingOrder="0" shrinkToFit="0" vertical="center" wrapText="1"/>
    </xf>
    <xf borderId="13" fillId="12" fontId="4" numFmtId="0" xfId="0" applyAlignment="1" applyBorder="1" applyFont="1">
      <alignment horizontal="center" shrinkToFit="0" vertical="center" wrapText="1"/>
    </xf>
    <xf borderId="13" fillId="8" fontId="29" numFmtId="0" xfId="0" applyAlignment="1" applyBorder="1" applyFont="1">
      <alignment horizontal="left" readingOrder="0" shrinkToFit="0" vertical="center" wrapText="1"/>
    </xf>
    <xf borderId="13" fillId="14" fontId="4" numFmtId="0" xfId="0" applyAlignment="1" applyBorder="1" applyFont="1">
      <alignment horizontal="center" shrinkToFit="0" vertical="center" wrapText="1"/>
    </xf>
    <xf borderId="13" fillId="16" fontId="4" numFmtId="0" xfId="0" applyAlignment="1" applyBorder="1" applyFont="1">
      <alignment horizontal="center" shrinkToFit="0" vertical="center" wrapText="1"/>
    </xf>
    <xf borderId="13" fillId="6" fontId="30" numFmtId="0" xfId="0" applyAlignment="1" applyBorder="1" applyFont="1">
      <alignment horizontal="left" readingOrder="0" shrinkToFit="0" vertical="center" wrapText="1"/>
    </xf>
    <xf borderId="13" fillId="8" fontId="31" numFmtId="0" xfId="0" applyAlignment="1" applyBorder="1" applyFont="1">
      <alignment horizontal="left" readingOrder="0" shrinkToFit="0" vertical="center" wrapText="1"/>
    </xf>
    <xf borderId="13" fillId="6" fontId="4" numFmtId="0" xfId="0" applyAlignment="1" applyBorder="1" applyFont="1">
      <alignment horizontal="left" readingOrder="0" shrinkToFit="0" vertical="center" wrapText="1"/>
    </xf>
    <xf borderId="13" fillId="8" fontId="4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customschemas.google.com/relationships/workbookmetadata" Target="metadata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rosstat.gov.ru/storage/mediabank/Jil_hoz_2025.pdf" TargetMode="External"/><Relationship Id="rId22" Type="http://schemas.openxmlformats.org/officeDocument/2006/relationships/hyperlink" Target="https://rosstat.gov.ru/statistics/turizm" TargetMode="External"/><Relationship Id="rId21" Type="http://schemas.openxmlformats.org/officeDocument/2006/relationships/hyperlink" Target="https://t-j.ru/zakroy-vodu-stat-2025/?utm_referrer=https%3A%2F%2Fyandex.ru%2F" TargetMode="External"/><Relationship Id="rId24" Type="http://schemas.openxmlformats.org/officeDocument/2006/relationships/hyperlink" Target="https://sber.pro/publication/barometr-otrasli-vnutrennii-turizm-i-industriya-gostepriimstva/" TargetMode="External"/><Relationship Id="rId23" Type="http://schemas.openxmlformats.org/officeDocument/2006/relationships/hyperlink" Target="https://mag.russpass.ru/business/rubric/biznes/god-vysokih-dostizhenij-statistika-turisticheskoj-otrasli" TargetMode="External"/><Relationship Id="rId1" Type="http://schemas.openxmlformats.org/officeDocument/2006/relationships/hyperlink" Target="https://statbase.ru/datasets/national-statistics-of-russia/finance-taxes-b" TargetMode="External"/><Relationship Id="rId2" Type="http://schemas.openxmlformats.org/officeDocument/2006/relationships/hyperlink" Target="https://docs.yandex.ru/docs/view?url=ya-browser%3A%2F%2F4DT1uXEPRrJRXlUFoewruOKrnrSNnbN0iGZdqD4WHciZTn57KVK9hJTXHGeMuTfgZASPr91ejgYICKE_hSq1GJPjLU9jKfCacJ9gwQvA4bO27-6mHOruu16Yr0OP4yIAtLU-pywZ896KBlcUcIBLZQ%3D%3D%3Fsign%3DChYrqdz3YxwEvCeE8G-xs3KAU-i5evyB07g6MflslQM%3D&amp;name=Index_proizv_truda(10042026).xlsx&amp;nosw=1" TargetMode="External"/><Relationship Id="rId3" Type="http://schemas.openxmlformats.org/officeDocument/2006/relationships/hyperlink" Target="https://docs.yandex.ru/docs/view?url=ya-browser%3A%2F%2F4DT1uXEPRrJRXlUFoewruL0gBIF0eb5kRon24f8IL83kvsdQI1yzTDOUAndaHitB0--wf20Jo5UPJV6TiO1_ObNxtrxRc3BZzGt6lgcpl9_sjqqxuAiqjt51TNI1vdF7MXZkVb4RThWwNgJHgRE3gw%3D%3D%3Fsign%3D1rYh-L01mYvbv_YYQJp4-BHBpye0AMUJd8kLsh_FL4w%3D&amp;name=Index_proizv_truda(10042026).xlsx&amp;nosw=1" TargetMode="External"/><Relationship Id="rId4" Type="http://schemas.openxmlformats.org/officeDocument/2006/relationships/hyperlink" Target="https://www.audit-it.ru/inform/zarplata/index.php?id_region=27" TargetMode="External"/><Relationship Id="rId9" Type="http://schemas.openxmlformats.org/officeDocument/2006/relationships/hyperlink" Target="https://rosstat.gov.ru/storage/mediabank/Prom_2025.pdf" TargetMode="External"/><Relationship Id="rId26" Type="http://schemas.openxmlformats.org/officeDocument/2006/relationships/hyperlink" Target="https://cyberleninka.ru/article/n/osnovnye-trendy-v-turizme-i-industrii-gostepriimstva-analitika-problemy-i-perspektivy-na-2026-god" TargetMode="External"/><Relationship Id="rId25" Type="http://schemas.openxmlformats.org/officeDocument/2006/relationships/hyperlink" Target="https://www.economy.gov.ru/material/directions/np_turizm_i_gostepriimstvo/" TargetMode="External"/><Relationship Id="rId28" Type="http://schemas.openxmlformats.org/officeDocument/2006/relationships/drawing" Target="../drawings/drawing7.xml"/><Relationship Id="rId27" Type="http://schemas.openxmlformats.org/officeDocument/2006/relationships/hyperlink" Target="https://www.atorus.ru/article/gde-nochevala-strana-neozhidannye-itogi-goda-v-gostinichnom-biznese-66689" TargetMode="External"/><Relationship Id="rId5" Type="http://schemas.openxmlformats.org/officeDocument/2006/relationships/hyperlink" Target="https://sber.pro/publication/barometr-otrasli-farmatsevticheskaya-otrasl-rossii/" TargetMode="External"/><Relationship Id="rId6" Type="http://schemas.openxmlformats.org/officeDocument/2006/relationships/hyperlink" Target="https://bankiros.ru/wiki/term/struktura-vvp-rossii-po-otraslam" TargetMode="External"/><Relationship Id="rId7" Type="http://schemas.openxmlformats.org/officeDocument/2006/relationships/hyperlink" Target="https://cyberleninka.ru/article/n/farmatsevticheskaya-otrasl-v-rf-problemy-i-perspektivy-razvitiya/viewer" TargetMode="External"/><Relationship Id="rId8" Type="http://schemas.openxmlformats.org/officeDocument/2006/relationships/hyperlink" Target="https://rosstat.gov.ru/labor_market_employment_salaries" TargetMode="External"/><Relationship Id="rId11" Type="http://schemas.openxmlformats.org/officeDocument/2006/relationships/hyperlink" Target="https://statbase.ru/datasets/national-statistics-of-russia/economics/manufacturing-industry-by-region-national-stat/" TargetMode="External"/><Relationship Id="rId10" Type="http://schemas.openxmlformats.org/officeDocument/2006/relationships/hyperlink" Target="https://rosstat.gov.ru/storage/mediabank/Prom_2025.pdf" TargetMode="External"/><Relationship Id="rId13" Type="http://schemas.openxmlformats.org/officeDocument/2006/relationships/hyperlink" Target="https://issek.hse.ru/news/1046793074.html" TargetMode="External"/><Relationship Id="rId12" Type="http://schemas.openxmlformats.org/officeDocument/2006/relationships/hyperlink" Target="https://www.kommersant.ru/doc/8141190" TargetMode="External"/><Relationship Id="rId15" Type="http://schemas.openxmlformats.org/officeDocument/2006/relationships/hyperlink" Target="https://www.rbc.ru/economics/05/02/2025/67a3a2539a7947722d45315b" TargetMode="External"/><Relationship Id="rId14" Type="http://schemas.openxmlformats.org/officeDocument/2006/relationships/hyperlink" Target="https://ru.tradingeconomics.com/russia/manufacturing-production" TargetMode="External"/><Relationship Id="rId17" Type="http://schemas.openxmlformats.org/officeDocument/2006/relationships/hyperlink" Target="https://rosstat.gov.ru/labour_force" TargetMode="External"/><Relationship Id="rId16" Type="http://schemas.openxmlformats.org/officeDocument/2006/relationships/hyperlink" Target="https://www.consultant.ru/document/cons_doc_LAW_55729/1c86de95dd6adc8f19b3dca4696576bd43c2afb1/" TargetMode="External"/><Relationship Id="rId19" Type="http://schemas.openxmlformats.org/officeDocument/2006/relationships/hyperlink" Target="https://www.fedstat.ru/indicator/34038" TargetMode="External"/><Relationship Id="rId18" Type="http://schemas.openxmlformats.org/officeDocument/2006/relationships/hyperlink" Target="https://www.mk.ru/realestate/2025/10/13/stalo-izvestno-v-kakikh-gorodakh-rossii-samaya-dorogaya-kommunalk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2.0"/>
    <col customWidth="1" min="3" max="3" width="62.0"/>
    <col customWidth="1" min="4" max="4" width="22.0"/>
    <col customWidth="1" min="5" max="26" width="8.71"/>
  </cols>
  <sheetData>
    <row r="1" ht="31.5" customHeight="1">
      <c r="B1" s="1" t="s">
        <v>0</v>
      </c>
      <c r="C1" s="2"/>
      <c r="D1" s="3"/>
    </row>
    <row r="2" ht="19.5" customHeight="1">
      <c r="B2" s="4" t="s">
        <v>1</v>
      </c>
      <c r="C2" s="2"/>
      <c r="D2" s="3"/>
    </row>
    <row r="4" ht="15.0" customHeight="1">
      <c r="B4" s="5" t="s">
        <v>2</v>
      </c>
      <c r="C4" s="6" t="s">
        <v>3</v>
      </c>
      <c r="D4" s="7"/>
    </row>
    <row r="5" ht="15.0" customHeight="1">
      <c r="B5" s="8"/>
      <c r="C5" s="9"/>
      <c r="D5" s="10"/>
    </row>
    <row r="6" ht="15.0" customHeight="1">
      <c r="B6" s="8"/>
      <c r="C6" s="9"/>
      <c r="D6" s="10"/>
    </row>
    <row r="7" ht="15.0" customHeight="1">
      <c r="B7" s="8"/>
      <c r="C7" s="9"/>
      <c r="D7" s="10"/>
    </row>
    <row r="8" ht="15.0" customHeight="1">
      <c r="B8" s="8"/>
      <c r="C8" s="9"/>
      <c r="D8" s="10"/>
    </row>
    <row r="9" ht="15.0" customHeight="1">
      <c r="B9" s="11"/>
      <c r="C9" s="12"/>
      <c r="D9" s="13"/>
    </row>
    <row r="11" ht="15.0" customHeight="1">
      <c r="B11" s="5" t="s">
        <v>4</v>
      </c>
      <c r="C11" s="6" t="s">
        <v>5</v>
      </c>
      <c r="D11" s="7"/>
    </row>
    <row r="12" ht="15.0" customHeight="1">
      <c r="B12" s="8"/>
      <c r="C12" s="9"/>
      <c r="D12" s="10"/>
    </row>
    <row r="13" ht="15.0" customHeight="1">
      <c r="B13" s="8"/>
      <c r="C13" s="9"/>
      <c r="D13" s="10"/>
    </row>
    <row r="14" ht="15.0" customHeight="1">
      <c r="B14" s="8"/>
      <c r="C14" s="9"/>
      <c r="D14" s="10"/>
    </row>
    <row r="15" ht="15.0" customHeight="1">
      <c r="B15" s="8"/>
      <c r="C15" s="9"/>
      <c r="D15" s="10"/>
    </row>
    <row r="16" ht="15.0" customHeight="1">
      <c r="B16" s="11"/>
      <c r="C16" s="12"/>
      <c r="D16" s="13"/>
    </row>
    <row r="18" ht="15.0" customHeight="1">
      <c r="B18" s="5" t="s">
        <v>6</v>
      </c>
      <c r="C18" s="6" t="s">
        <v>7</v>
      </c>
      <c r="D18" s="7"/>
    </row>
    <row r="19" ht="15.0" customHeight="1">
      <c r="B19" s="8"/>
      <c r="C19" s="9"/>
      <c r="D19" s="10"/>
    </row>
    <row r="20" ht="15.0" customHeight="1">
      <c r="B20" s="8"/>
      <c r="C20" s="9"/>
      <c r="D20" s="10"/>
    </row>
    <row r="21" ht="15.0" customHeight="1">
      <c r="B21" s="8"/>
      <c r="C21" s="9"/>
      <c r="D21" s="10"/>
    </row>
    <row r="22" ht="15.0" customHeight="1">
      <c r="B22" s="8"/>
      <c r="C22" s="9"/>
      <c r="D22" s="10"/>
    </row>
    <row r="23" ht="15.0" customHeight="1">
      <c r="B23" s="11"/>
      <c r="C23" s="12"/>
      <c r="D23" s="13"/>
    </row>
    <row r="24" ht="15.75" customHeight="1"/>
    <row r="25" ht="15.0" customHeight="1">
      <c r="B25" s="5" t="s">
        <v>8</v>
      </c>
      <c r="C25" s="6" t="s">
        <v>9</v>
      </c>
      <c r="D25" s="7"/>
    </row>
    <row r="26" ht="15.0" customHeight="1">
      <c r="B26" s="8"/>
      <c r="C26" s="9"/>
      <c r="D26" s="10"/>
    </row>
    <row r="27" ht="15.0" customHeight="1">
      <c r="B27" s="8"/>
      <c r="C27" s="9"/>
      <c r="D27" s="10"/>
    </row>
    <row r="28" ht="15.0" customHeight="1">
      <c r="B28" s="8"/>
      <c r="C28" s="9"/>
      <c r="D28" s="10"/>
    </row>
    <row r="29" ht="15.0" customHeight="1">
      <c r="B29" s="8"/>
      <c r="C29" s="9"/>
      <c r="D29" s="10"/>
    </row>
    <row r="30" ht="45.0" customHeight="1">
      <c r="B30" s="11"/>
      <c r="C30" s="12"/>
      <c r="D30" s="13"/>
    </row>
    <row r="31" ht="15.75" customHeight="1"/>
    <row r="32" ht="15.0" customHeight="1">
      <c r="B32" s="5" t="s">
        <v>10</v>
      </c>
      <c r="C32" s="6" t="s">
        <v>11</v>
      </c>
      <c r="D32" s="7"/>
    </row>
    <row r="33" ht="15.0" customHeight="1">
      <c r="B33" s="8"/>
      <c r="C33" s="9"/>
      <c r="D33" s="10"/>
    </row>
    <row r="34" ht="15.0" customHeight="1">
      <c r="B34" s="8"/>
      <c r="C34" s="9"/>
      <c r="D34" s="10"/>
    </row>
    <row r="35" ht="15.0" customHeight="1">
      <c r="B35" s="8"/>
      <c r="C35" s="9"/>
      <c r="D35" s="10"/>
    </row>
    <row r="36" ht="15.0" customHeight="1">
      <c r="B36" s="8"/>
      <c r="C36" s="9"/>
      <c r="D36" s="10"/>
    </row>
    <row r="37" ht="15.0" customHeight="1">
      <c r="B37" s="11"/>
      <c r="C37" s="12"/>
      <c r="D37" s="13"/>
    </row>
    <row r="38" ht="15.75" customHeight="1"/>
    <row r="39" ht="15.0" customHeight="1">
      <c r="B39" s="5" t="s">
        <v>12</v>
      </c>
      <c r="C39" s="6" t="s">
        <v>13</v>
      </c>
      <c r="D39" s="7"/>
    </row>
    <row r="40" ht="15.0" customHeight="1">
      <c r="B40" s="8"/>
      <c r="C40" s="9"/>
      <c r="D40" s="10"/>
    </row>
    <row r="41" ht="15.0" customHeight="1">
      <c r="B41" s="8"/>
      <c r="C41" s="9"/>
      <c r="D41" s="10"/>
    </row>
    <row r="42" ht="15.0" customHeight="1">
      <c r="B42" s="8"/>
      <c r="C42" s="9"/>
      <c r="D42" s="10"/>
    </row>
    <row r="43" ht="15.0" customHeight="1">
      <c r="B43" s="8"/>
      <c r="C43" s="9"/>
      <c r="D43" s="10"/>
    </row>
    <row r="44" ht="15.0" customHeight="1">
      <c r="B44" s="11"/>
      <c r="C44" s="12"/>
      <c r="D44" s="1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4">
    <mergeCell ref="B18:B23"/>
    <mergeCell ref="B25:B30"/>
    <mergeCell ref="B32:B37"/>
    <mergeCell ref="B39:B44"/>
    <mergeCell ref="C25:D30"/>
    <mergeCell ref="C32:D37"/>
    <mergeCell ref="C39:D44"/>
    <mergeCell ref="B1:D1"/>
    <mergeCell ref="B2:D2"/>
    <mergeCell ref="B4:B9"/>
    <mergeCell ref="C4:D9"/>
    <mergeCell ref="B11:B16"/>
    <mergeCell ref="C11:D16"/>
    <mergeCell ref="C18:D2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9.0" topLeftCell="D10" activePane="bottomRight" state="frozen"/>
      <selection activeCell="D1" sqref="D1" pane="topRight"/>
      <selection activeCell="A10" sqref="A10" pane="bottomLeft"/>
      <selection activeCell="D10" sqref="D10" pane="bottomRight"/>
    </sheetView>
  </sheetViews>
  <sheetFormatPr customHeight="1" defaultColWidth="14.43" defaultRowHeight="15.0"/>
  <cols>
    <col customWidth="1" min="1" max="1" width="3.0"/>
    <col customWidth="1" min="2" max="2" width="6.0"/>
    <col customWidth="1" min="3" max="3" width="3.0"/>
    <col customWidth="1" min="4" max="4" width="34.0"/>
    <col customWidth="1" min="5" max="5" width="17.14"/>
    <col customWidth="1" min="6" max="6" width="15.71"/>
    <col customWidth="1" min="7" max="7" width="12.0"/>
    <col customWidth="1" min="8" max="8" width="4.0"/>
    <col customWidth="1" min="9" max="9" width="26.0"/>
    <col customWidth="1" min="10" max="10" width="37.0"/>
    <col customWidth="1" min="11" max="11" width="14.0"/>
    <col customWidth="1" min="12" max="12" width="18.0"/>
    <col customWidth="1" min="13" max="13" width="4.0"/>
    <col customWidth="1" min="14" max="26" width="8.71"/>
  </cols>
  <sheetData>
    <row r="1" ht="30.0" customHeight="1">
      <c r="B1" s="14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7.5" customHeight="1"/>
    <row r="3" ht="7.5" customHeight="1"/>
    <row r="4" ht="21.75" customHeight="1">
      <c r="D4" s="15" t="s">
        <v>15</v>
      </c>
      <c r="E4" s="2"/>
      <c r="F4" s="2"/>
      <c r="G4" s="3"/>
      <c r="I4" s="15" t="s">
        <v>16</v>
      </c>
      <c r="J4" s="2"/>
      <c r="K4" s="2"/>
      <c r="L4" s="2"/>
      <c r="M4" s="3"/>
    </row>
    <row r="5" ht="19.5" customHeight="1">
      <c r="D5" s="16" t="s">
        <v>17</v>
      </c>
      <c r="E5" s="2"/>
      <c r="F5" s="2"/>
      <c r="G5" s="3"/>
    </row>
    <row r="6" ht="30.75" customHeight="1">
      <c r="D6" s="17" t="s">
        <v>18</v>
      </c>
      <c r="E6" s="18" t="s">
        <v>19</v>
      </c>
      <c r="F6" s="19" t="s">
        <v>20</v>
      </c>
      <c r="I6" s="17" t="s">
        <v>21</v>
      </c>
      <c r="J6" s="18" t="s">
        <v>22</v>
      </c>
    </row>
    <row r="7" ht="18.0" customHeight="1">
      <c r="D7" s="20" t="s">
        <v>23</v>
      </c>
      <c r="E7" s="21" t="str">
        <f>IF(E6="Экономический (Б1=50%)","Б1=50% · Б2=15% · Б3=25% · Б4=10%",IF(E6="Технологический (Б3=55%)","Б1=20% · Б2=15% · Б3=55% · Б4=10%",IF(E6="Регуляторный (Б4=25%)","Б1=25% · Б2=20% · Б3=30% · Б4=25%","Б1=35% · Б2=20% · Б3=30% · Б4=15%")))</f>
        <v>Б1=25% · Б2=20% · Б3=30% · Б4=25%</v>
      </c>
      <c r="F7" s="22"/>
      <c r="G7" s="23"/>
      <c r="I7" s="20" t="s">
        <v>24</v>
      </c>
      <c r="J7" s="24" t="str">
        <f>E6</f>
        <v>Регуляторный (Б4=25%)</v>
      </c>
    </row>
    <row r="8" ht="12.0" customHeight="1"/>
    <row r="9" ht="27.75" customHeight="1">
      <c r="B9" s="25" t="s">
        <v>25</v>
      </c>
      <c r="D9" s="25" t="s">
        <v>26</v>
      </c>
      <c r="E9" s="25" t="s">
        <v>27</v>
      </c>
      <c r="F9" s="25" t="s">
        <v>28</v>
      </c>
      <c r="G9" s="25" t="s">
        <v>29</v>
      </c>
      <c r="I9" s="26" t="str">
        <f>IF(J6="","— выберите отрасль —",J6)</f>
        <v>Оборонно-промышленный комплекс</v>
      </c>
      <c r="J9" s="22"/>
      <c r="K9" s="22"/>
      <c r="L9" s="22"/>
      <c r="M9" s="23"/>
    </row>
    <row r="10" ht="19.5" customHeight="1">
      <c r="B10" s="27">
        <v>1.0</v>
      </c>
      <c r="D10" s="28" t="s">
        <v>22</v>
      </c>
      <c r="E10" s="29">
        <f>IFERROR(IF($E$6="Экономический (Б1=50%)",VLOOKUP(D10,'Расчет'!$A$2:$AA$20,14,0),IF($E$6="Технологический (Б3=55%)",VLOOKUP(D10,'Расчет'!$A$2:$AA$20,19,0),IF($E$6="Регуляторный (Б4=25%)",VLOOKUP(D10,'Расчет'!$A$2:$AA$20,24,0),VLOOKUP(D10,'Расчет'!$A$2:$AA$20,3,0)))),"")</f>
        <v>0.4733</v>
      </c>
      <c r="F10" s="29">
        <f>IFERROR(IF($E$6="Экономический (Б1=50%)",VLOOKUP(D10,'Расчет'!$A$2:$AA$20,15,0),IF($E$6="Технологический (Б3=55%)",VLOOKUP(D10,'Расчет'!$A$2:$AA$20,20,0),IF($E$6="Регуляторный (Б4=25%)",VLOOKUP(D10,'Расчет'!$A$2:$AA$20,25,0),VLOOKUP(D10,'Расчет'!$A$2:$AA$20,4,0)))),"")</f>
        <v>0.4724</v>
      </c>
      <c r="G10" s="29">
        <f>IFERROR(IF($E$6="Экономический (Б1=50%)",VLOOKUP(D10,'Расчет'!$A$2:$AA$20,16,0),IF($E$6="Технологический (Б3=55%)",VLOOKUP(D10,'Расчет'!$A$2:$AA$20,21,0),IF($E$6="Регуляторный (Б4=25%)",VLOOKUP(D10,'Расчет'!$A$2:$AA$20,26,0),VLOOKUP(D10,'Расчет'!$A$2:$AA$20,5,0)))),"")</f>
        <v>0.4701</v>
      </c>
      <c r="I10" s="28" t="s">
        <v>30</v>
      </c>
      <c r="J10" s="30">
        <f>IFERROR(VLOOKUP($J$6,'Расчет'!$A$2:$AA$20,2,0),"")</f>
        <v>0.4655</v>
      </c>
      <c r="L10" s="31">
        <f>IFERROR(VLOOKUP($J$6,'Расчет'!$A$2:$AA$20,2,0),"")</f>
        <v>0.4655</v>
      </c>
    </row>
    <row r="11" ht="24.75" customHeight="1">
      <c r="B11" s="32">
        <v>2.0</v>
      </c>
      <c r="D11" s="20" t="s">
        <v>31</v>
      </c>
      <c r="E11" s="33">
        <f>IFERROR(IF($E$6="Экономический (Б1=50%)",VLOOKUP(D11,'Расчет'!$A$2:$AA$20,14,0),IF($E$6="Технологический (Б3=55%)",VLOOKUP(D11,'Расчет'!$A$2:$AA$20,19,0),IF($E$6="Регуляторный (Б4=25%)",VLOOKUP(D11,'Расчет'!$A$2:$AA$20,24,0),VLOOKUP(D11,'Расчет'!$A$2:$AA$20,3,0)))),"")</f>
        <v>0.4464</v>
      </c>
      <c r="F11" s="33">
        <f>IFERROR(IF($E$6="Экономический (Б1=50%)",VLOOKUP(D11,'Расчет'!$A$2:$AA$20,15,0),IF($E$6="Технологический (Б3=55%)",VLOOKUP(D11,'Расчет'!$A$2:$AA$20,20,0),IF($E$6="Регуляторный (Б4=25%)",VLOOKUP(D11,'Расчет'!$A$2:$AA$20,25,0),VLOOKUP(D11,'Расчет'!$A$2:$AA$20,4,0)))),"")</f>
        <v>0.4476</v>
      </c>
      <c r="G11" s="33">
        <f>IFERROR(IF($E$6="Экономический (Б1=50%)",VLOOKUP(D11,'Расчет'!$A$2:$AA$20,16,0),IF($E$6="Технологический (Б3=55%)",VLOOKUP(D11,'Расчет'!$A$2:$AA$20,21,0),IF($E$6="Регуляторный (Б4=25%)",VLOOKUP(D11,'Расчет'!$A$2:$AA$20,26,0),VLOOKUP(D11,'Расчет'!$A$2:$AA$20,5,0)))),"")</f>
        <v>0.4504</v>
      </c>
    </row>
    <row r="12" ht="19.5" customHeight="1">
      <c r="B12" s="27">
        <v>3.0</v>
      </c>
      <c r="D12" s="28" t="s">
        <v>32</v>
      </c>
      <c r="E12" s="29">
        <f>IFERROR(IF($E$6="Экономический (Б1=50%)",VLOOKUP(D12,'Расчет'!$A$2:$AA$20,14,0),IF($E$6="Технологический (Б3=55%)",VLOOKUP(D12,'Расчет'!$A$2:$AA$20,19,0),IF($E$6="Регуляторный (Б4=25%)",VLOOKUP(D12,'Расчет'!$A$2:$AA$20,24,0),VLOOKUP(D12,'Расчет'!$A$2:$AA$20,3,0)))),"")</f>
        <v>0.4424</v>
      </c>
      <c r="F12" s="29">
        <f>IFERROR(IF($E$6="Экономический (Б1=50%)",VLOOKUP(D12,'Расчет'!$A$2:$AA$20,15,0),IF($E$6="Технологический (Б3=55%)",VLOOKUP(D12,'Расчет'!$A$2:$AA$20,20,0),IF($E$6="Регуляторный (Б4=25%)",VLOOKUP(D12,'Расчет'!$A$2:$AA$20,25,0),VLOOKUP(D12,'Расчет'!$A$2:$AA$20,4,0)))),"")</f>
        <v>0.4431</v>
      </c>
      <c r="G12" s="29">
        <f>IFERROR(IF($E$6="Экономический (Б1=50%)",VLOOKUP(D12,'Расчет'!$A$2:$AA$20,16,0),IF($E$6="Технологический (Б3=55%)",VLOOKUP(D12,'Расчет'!$A$2:$AA$20,21,0),IF($E$6="Регуляторный (Б4=25%)",VLOOKUP(D12,'Расчет'!$A$2:$AA$20,26,0),VLOOKUP(D12,'Расчет'!$A$2:$AA$20,5,0)))),"")</f>
        <v>0.4449</v>
      </c>
      <c r="I12" s="4" t="s">
        <v>33</v>
      </c>
      <c r="J12" s="2"/>
      <c r="K12" s="2"/>
      <c r="L12" s="2"/>
      <c r="M12" s="3"/>
    </row>
    <row r="13" ht="18.0" customHeight="1">
      <c r="B13" s="34">
        <v>4.0</v>
      </c>
      <c r="D13" s="20" t="s">
        <v>34</v>
      </c>
      <c r="E13" s="33">
        <f>IFERROR(IF($E$6="Экономический (Б1=50%)",VLOOKUP(D13,'Расчет'!$A$2:$AA$20,14,0),IF($E$6="Технологический (Б3=55%)",VLOOKUP(D13,'Расчет'!$A$2:$AA$20,19,0),IF($E$6="Регуляторный (Б4=25%)",VLOOKUP(D13,'Расчет'!$A$2:$AA$20,24,0),VLOOKUP(D13,'Расчет'!$A$2:$AA$20,3,0)))),"")</f>
        <v>0.4306</v>
      </c>
      <c r="F13" s="33">
        <f>IFERROR(IF($E$6="Экономический (Б1=50%)",VLOOKUP(D13,'Расчет'!$A$2:$AA$20,15,0),IF($E$6="Технологический (Б3=55%)",VLOOKUP(D13,'Расчет'!$A$2:$AA$20,20,0),IF($E$6="Регуляторный (Б4=25%)",VLOOKUP(D13,'Расчет'!$A$2:$AA$20,25,0),VLOOKUP(D13,'Расчет'!$A$2:$AA$20,4,0)))),"")</f>
        <v>0.4315</v>
      </c>
      <c r="G13" s="33">
        <f>IFERROR(IF($E$6="Экономический (Б1=50%)",VLOOKUP(D13,'Расчет'!$A$2:$AA$20,16,0),IF($E$6="Технологический (Б3=55%)",VLOOKUP(D13,'Расчет'!$A$2:$AA$20,21,0),IF($E$6="Регуляторный (Б4=25%)",VLOOKUP(D13,'Расчет'!$A$2:$AA$20,26,0),VLOOKUP(D13,'Расчет'!$A$2:$AA$20,5,0)))),"")</f>
        <v>0.4338</v>
      </c>
      <c r="I13" s="28" t="s">
        <v>35</v>
      </c>
      <c r="J13" s="30">
        <f>IFERROR(IF($E$6="Экономический (Б1=50%)",VLOOKUP($J$6,'Расчет'!$A$2:$AA$20,14,0),IF($E$6="Технологический (Б3=55%)",VLOOKUP($J$6,'Расчет'!$A$2:$AA$20,19,0),IF($E$6="Регуляторный (Б4=25%)",VLOOKUP($J$6,'Расчет'!$A$2:$AA$20,24,0),VLOOKUP($J$6,'Расчет'!$A$2:$AA$20,3,0)))),"")</f>
        <v>0.4733</v>
      </c>
      <c r="L13" s="35">
        <f>IFERROR(IF($E$6="Экономический (Б1=50%)",VLOOKUP($J$6,'Расчет'!$A$2:$AA$20,14,0),IF($E$6="Технологический (Б3=55%)",VLOOKUP($J$6,'Расчет'!$A$2:$AA$20,19,0),IF($E$6="Регуляторный (Б4=25%)",VLOOKUP($J$6,'Расчет'!$A$2:$AA$20,24,0),VLOOKUP($J$6,'Расчет'!$A$2:$AA$20,3,0)))),"")</f>
        <v>0.4733</v>
      </c>
    </row>
    <row r="14" ht="18.0" customHeight="1">
      <c r="B14" s="36">
        <v>5.0</v>
      </c>
      <c r="D14" s="28" t="s">
        <v>36</v>
      </c>
      <c r="E14" s="29">
        <f>IFERROR(IF($E$6="Экономический (Б1=50%)",VLOOKUP(D14,'Расчет'!$A$2:$AA$20,14,0),IF($E$6="Технологический (Б3=55%)",VLOOKUP(D14,'Расчет'!$A$2:$AA$20,19,0),IF($E$6="Регуляторный (Б4=25%)",VLOOKUP(D14,'Расчет'!$A$2:$AA$20,24,0),VLOOKUP(D14,'Расчет'!$A$2:$AA$20,3,0)))),"")</f>
        <v>0.3441</v>
      </c>
      <c r="F14" s="29">
        <f>IFERROR(IF($E$6="Экономический (Б1=50%)",VLOOKUP(D14,'Расчет'!$A$2:$AA$20,15,0),IF($E$6="Технологический (Б3=55%)",VLOOKUP(D14,'Расчет'!$A$2:$AA$20,20,0),IF($E$6="Регуляторный (Б4=25%)",VLOOKUP(D14,'Расчет'!$A$2:$AA$20,25,0),VLOOKUP(D14,'Расчет'!$A$2:$AA$20,4,0)))),"")</f>
        <v>0.3422</v>
      </c>
      <c r="G14" s="29">
        <f>IFERROR(IF($E$6="Экономический (Б1=50%)",VLOOKUP(D14,'Расчет'!$A$2:$AA$20,16,0),IF($E$6="Технологический (Б3=55%)",VLOOKUP(D14,'Расчет'!$A$2:$AA$20,21,0),IF($E$6="Регуляторный (Б4=25%)",VLOOKUP(D14,'Расчет'!$A$2:$AA$20,26,0),VLOOKUP(D14,'Расчет'!$A$2:$AA$20,5,0)))),"")</f>
        <v>0.3374</v>
      </c>
      <c r="I14" s="28" t="s">
        <v>37</v>
      </c>
      <c r="J14" s="30">
        <f>IFERROR(IF($E$6="Экономический (Б1=50%)",VLOOKUP($J$6,'Расчет'!$A$2:$AA$20,15,0),IF($E$6="Технологический (Б3=55%)",VLOOKUP($J$6,'Расчет'!$A$2:$AA$20,20,0),IF($E$6="Регуляторный (Б4=25%)",VLOOKUP($J$6,'Расчет'!$A$2:$AA$20,25,0),VLOOKUP($J$6,'Расчет'!$A$2:$AA$20,4,0)))),"")</f>
        <v>0.4724</v>
      </c>
      <c r="L14" s="35">
        <f>IFERROR(IF($E$6="Экономический (Б1=50%)",VLOOKUP($J$6,'Расчет'!$A$2:$AA$20,15,0),IF($E$6="Технологический (Б3=55%)",VLOOKUP($J$6,'Расчет'!$A$2:$AA$20,20,0),IF($E$6="Регуляторный (Б4=25%)",VLOOKUP($J$6,'Расчет'!$A$2:$AA$20,25,0),VLOOKUP($J$6,'Расчет'!$A$2:$AA$20,4,0)))),"")</f>
        <v>0.4724</v>
      </c>
    </row>
    <row r="15" ht="18.0" customHeight="1">
      <c r="B15" s="37">
        <v>6.0</v>
      </c>
      <c r="D15" s="20" t="s">
        <v>38</v>
      </c>
      <c r="E15" s="33">
        <f>IFERROR(IF($E$6="Экономический (Б1=50%)",VLOOKUP(D15,'Расчет'!$A$2:$AA$20,14,0),IF($E$6="Технологический (Б3=55%)",VLOOKUP(D15,'Расчет'!$A$2:$AA$20,19,0),IF($E$6="Регуляторный (Б4=25%)",VLOOKUP(D15,'Расчет'!$A$2:$AA$20,24,0),VLOOKUP(D15,'Расчет'!$A$2:$AA$20,3,0)))),"")</f>
        <v>0.3189</v>
      </c>
      <c r="F15" s="33">
        <f>IFERROR(IF($E$6="Экономический (Б1=50%)",VLOOKUP(D15,'Расчет'!$A$2:$AA$20,15,0),IF($E$6="Технологический (Б3=55%)",VLOOKUP(D15,'Расчет'!$A$2:$AA$20,20,0),IF($E$6="Регуляторный (Б4=25%)",VLOOKUP(D15,'Расчет'!$A$2:$AA$20,25,0),VLOOKUP(D15,'Расчет'!$A$2:$AA$20,4,0)))),"")</f>
        <v>0.3129</v>
      </c>
      <c r="G15" s="33">
        <f>IFERROR(IF($E$6="Экономический (Б1=50%)",VLOOKUP(D15,'Расчет'!$A$2:$AA$20,16,0),IF($E$6="Технологический (Б3=55%)",VLOOKUP(D15,'Расчет'!$A$2:$AA$20,21,0),IF($E$6="Регуляторный (Б4=25%)",VLOOKUP(D15,'Расчет'!$A$2:$AA$20,26,0),VLOOKUP(D15,'Расчет'!$A$2:$AA$20,5,0)))),"")</f>
        <v>0.2978</v>
      </c>
      <c r="I15" s="28" t="s">
        <v>39</v>
      </c>
      <c r="J15" s="30">
        <f>IFERROR(IF($E$6="Экономический (Б1=50%)",VLOOKUP($J$6,'Расчет'!$A$2:$AA$20,16,0),IF($E$6="Технологический (Б3=55%)",VLOOKUP($J$6,'Расчет'!$A$2:$AA$20,21,0),IF($E$6="Регуляторный (Б4=25%)",VLOOKUP($J$6,'Расчет'!$A$2:$AA$20,26,0),VLOOKUP($J$6,'Расчет'!$A$2:$AA$20,5,0)))),"")</f>
        <v>0.4701</v>
      </c>
      <c r="L15" s="35">
        <f>IFERROR(IF($E$6="Экономический (Б1=50%)",VLOOKUP($J$6,'Расчет'!$A$2:$AA$20,16,0),IF($E$6="Технологический (Б3=55%)",VLOOKUP($J$6,'Расчет'!$A$2:$AA$20,21,0),IF($E$6="Регуляторный (Б4=25%)",VLOOKUP($J$6,'Расчет'!$A$2:$AA$20,26,0),VLOOKUP($J$6,'Расчет'!$A$2:$AA$20,5,0)))),"")</f>
        <v>0.4701</v>
      </c>
    </row>
    <row r="16" ht="24.75" customHeight="1">
      <c r="B16" s="38">
        <v>7.0</v>
      </c>
      <c r="D16" s="28" t="s">
        <v>40</v>
      </c>
      <c r="E16" s="29">
        <f>IFERROR(IF($E$6="Экономический (Б1=50%)",VLOOKUP(D16,'Расчет'!$A$2:$AA$20,14,0),IF($E$6="Технологический (Б3=55%)",VLOOKUP(D16,'Расчет'!$A$2:$AA$20,19,0),IF($E$6="Регуляторный (Б4=25%)",VLOOKUP(D16,'Расчет'!$A$2:$AA$20,24,0),VLOOKUP(D16,'Расчет'!$A$2:$AA$20,3,0)))),"")</f>
        <v>0.2933</v>
      </c>
      <c r="F16" s="29">
        <f>IFERROR(IF($E$6="Экономический (Б1=50%)",VLOOKUP(D16,'Расчет'!$A$2:$AA$20,15,0),IF($E$6="Технологический (Б3=55%)",VLOOKUP(D16,'Расчет'!$A$2:$AA$20,20,0),IF($E$6="Регуляторный (Б4=25%)",VLOOKUP(D16,'Расчет'!$A$2:$AA$20,25,0),VLOOKUP(D16,'Расчет'!$A$2:$AA$20,4,0)))),"")</f>
        <v>0.2907</v>
      </c>
      <c r="G16" s="29">
        <f>IFERROR(IF($E$6="Экономический (Б1=50%)",VLOOKUP(D16,'Расчет'!$A$2:$AA$20,16,0),IF($E$6="Технологический (Б3=55%)",VLOOKUP(D16,'Расчет'!$A$2:$AA$20,21,0),IF($E$6="Регуляторный (Б4=25%)",VLOOKUP(D16,'Расчет'!$A$2:$AA$20,26,0),VLOOKUP(D16,'Расчет'!$A$2:$AA$20,5,0)))),"")</f>
        <v>0.2841</v>
      </c>
    </row>
    <row r="17" ht="15.75" customHeight="1">
      <c r="B17" s="37">
        <v>8.0</v>
      </c>
      <c r="D17" s="20" t="s">
        <v>41</v>
      </c>
      <c r="E17" s="33">
        <f>IFERROR(IF($E$6="Экономический (Б1=50%)",VLOOKUP(D17,'Расчет'!$A$2:$AA$20,14,0),IF($E$6="Технологический (Б3=55%)",VLOOKUP(D17,'Расчет'!$A$2:$AA$20,19,0),IF($E$6="Регуляторный (Б4=25%)",VLOOKUP(D17,'Расчет'!$A$2:$AA$20,24,0),VLOOKUP(D17,'Расчет'!$A$2:$AA$20,3,0)))),"")</f>
        <v>0.2956</v>
      </c>
      <c r="F17" s="33">
        <f>IFERROR(IF($E$6="Экономический (Б1=50%)",VLOOKUP(D17,'Расчет'!$A$2:$AA$20,15,0),IF($E$6="Технологический (Б3=55%)",VLOOKUP(D17,'Расчет'!$A$2:$AA$20,20,0),IF($E$6="Регуляторный (Б4=25%)",VLOOKUP(D17,'Расчет'!$A$2:$AA$20,25,0),VLOOKUP(D17,'Расчет'!$A$2:$AA$20,4,0)))),"")</f>
        <v>0.2944</v>
      </c>
      <c r="G17" s="33">
        <f>IFERROR(IF($E$6="Экономический (Б1=50%)",VLOOKUP(D17,'Расчет'!$A$2:$AA$20,16,0),IF($E$6="Технологический (Б3=55%)",VLOOKUP(D17,'Расчет'!$A$2:$AA$20,21,0),IF($E$6="Регуляторный (Б4=25%)",VLOOKUP(D17,'Расчет'!$A$2:$AA$20,26,0),VLOOKUP(D17,'Расчет'!$A$2:$AA$20,5,0)))),"")</f>
        <v>0.2916</v>
      </c>
      <c r="I17" s="28" t="s">
        <v>42</v>
      </c>
      <c r="J17" s="39">
        <f>IFERROR(VLOOKUP($J$6,'Расчет'!$A$2:$AA$20,6,0),"")</f>
        <v>-0.00132</v>
      </c>
      <c r="L17" s="40" t="str">
        <f>IFERROR(VLOOKUP($J$6,'Расчет'!$A$2:$AA$20,12,0),"")</f>
        <v>→ Стабильно</v>
      </c>
    </row>
    <row r="18" ht="30.0" customHeight="1">
      <c r="B18" s="38">
        <v>9.0</v>
      </c>
      <c r="D18" s="28" t="s">
        <v>43</v>
      </c>
      <c r="E18" s="29">
        <f>IFERROR(IF($E$6="Экономический (Б1=50%)",VLOOKUP(D18,'Расчет'!$A$2:$AA$20,14,0),IF($E$6="Технологический (Б3=55%)",VLOOKUP(D18,'Расчет'!$A$2:$AA$20,19,0),IF($E$6="Регуляторный (Б4=25%)",VLOOKUP(D18,'Расчет'!$A$2:$AA$20,24,0),VLOOKUP(D18,'Расчет'!$A$2:$AA$20,3,0)))),"")</f>
        <v>0.3086</v>
      </c>
      <c r="F18" s="29">
        <f>IFERROR(IF($E$6="Экономический (Б1=50%)",VLOOKUP(D18,'Расчет'!$A$2:$AA$20,15,0),IF($E$6="Технологический (Б3=55%)",VLOOKUP(D18,'Расчет'!$A$2:$AA$20,20,0),IF($E$6="Регуляторный (Б4=25%)",VLOOKUP(D18,'Расчет'!$A$2:$AA$20,25,0),VLOOKUP(D18,'Расчет'!$A$2:$AA$20,4,0)))),"")</f>
        <v>0.3079</v>
      </c>
      <c r="G18" s="29">
        <f>IFERROR(IF($E$6="Экономический (Б1=50%)",VLOOKUP(D18,'Расчет'!$A$2:$AA$20,16,0),IF($E$6="Технологический (Б3=55%)",VLOOKUP(D18,'Расчет'!$A$2:$AA$20,21,0),IF($E$6="Регуляторный (Б4=25%)",VLOOKUP(D18,'Расчет'!$A$2:$AA$20,26,0),VLOOKUP(D18,'Расчет'!$A$2:$AA$20,5,0)))),"")</f>
        <v>0.3064</v>
      </c>
    </row>
    <row r="19" ht="19.5" customHeight="1">
      <c r="B19" s="37">
        <v>10.0</v>
      </c>
      <c r="D19" s="20" t="s">
        <v>44</v>
      </c>
      <c r="E19" s="33">
        <f>IFERROR(IF($E$6="Экономический (Б1=50%)",VLOOKUP(D19,'Расчет'!$A$2:$AA$20,14,0),IF($E$6="Технологический (Б3=55%)",VLOOKUP(D19,'Расчет'!$A$2:$AA$20,19,0),IF($E$6="Регуляторный (Б4=25%)",VLOOKUP(D19,'Расчет'!$A$2:$AA$20,24,0),VLOOKUP(D19,'Расчет'!$A$2:$AA$20,3,0)))),"")</f>
        <v>0.3149</v>
      </c>
      <c r="F19" s="33">
        <f>IFERROR(IF($E$6="Экономический (Б1=50%)",VLOOKUP(D19,'Расчет'!$A$2:$AA$20,15,0),IF($E$6="Технологический (Б3=55%)",VLOOKUP(D19,'Расчет'!$A$2:$AA$20,20,0),IF($E$6="Регуляторный (Б4=25%)",VLOOKUP(D19,'Расчет'!$A$2:$AA$20,25,0),VLOOKUP(D19,'Расчет'!$A$2:$AA$20,4,0)))),"")</f>
        <v>0.3141</v>
      </c>
      <c r="G19" s="33">
        <f>IFERROR(IF($E$6="Экономический (Б1=50%)",VLOOKUP(D19,'Расчет'!$A$2:$AA$20,16,0),IF($E$6="Технологический (Б3=55%)",VLOOKUP(D19,'Расчет'!$A$2:$AA$20,21,0),IF($E$6="Регуляторный (Б4=25%)",VLOOKUP(D19,'Расчет'!$A$2:$AA$20,26,0),VLOOKUP(D19,'Расчет'!$A$2:$AA$20,5,0)))),"")</f>
        <v>0.312</v>
      </c>
      <c r="I19" s="4" t="s">
        <v>45</v>
      </c>
      <c r="J19" s="2"/>
      <c r="K19" s="2"/>
      <c r="L19" s="2"/>
      <c r="M19" s="3"/>
    </row>
    <row r="20" ht="18.0" customHeight="1">
      <c r="B20" s="38">
        <v>11.0</v>
      </c>
      <c r="D20" s="28" t="s">
        <v>46</v>
      </c>
      <c r="E20" s="29">
        <f>IFERROR(IF($E$6="Экономический (Б1=50%)",VLOOKUP(D20,'Расчет'!$A$2:$AA$20,14,0),IF($E$6="Технологический (Б3=55%)",VLOOKUP(D20,'Расчет'!$A$2:$AA$20,19,0),IF($E$6="Регуляторный (Б4=25%)",VLOOKUP(D20,'Расчет'!$A$2:$AA$20,24,0),VLOOKUP(D20,'Расчет'!$A$2:$AA$20,3,0)))),"")</f>
        <v>0.293</v>
      </c>
      <c r="F20" s="29">
        <f>IFERROR(IF($E$6="Экономический (Б1=50%)",VLOOKUP(D20,'Расчет'!$A$2:$AA$20,15,0),IF($E$6="Технологический (Б3=55%)",VLOOKUP(D20,'Расчет'!$A$2:$AA$20,20,0),IF($E$6="Регуляторный (Б4=25%)",VLOOKUP(D20,'Расчет'!$A$2:$AA$20,25,0),VLOOKUP(D20,'Расчет'!$A$2:$AA$20,4,0)))),"")</f>
        <v>0.2909</v>
      </c>
      <c r="G20" s="29">
        <f>IFERROR(IF($E$6="Экономический (Б1=50%)",VLOOKUP(D20,'Расчет'!$A$2:$AA$20,16,0),IF($E$6="Технологический (Б3=55%)",VLOOKUP(D20,'Расчет'!$A$2:$AA$20,21,0),IF($E$6="Регуляторный (Б4=25%)",VLOOKUP(D20,'Расчет'!$A$2:$AA$20,26,0),VLOOKUP(D20,'Расчет'!$A$2:$AA$20,5,0)))),"")</f>
        <v>0.2855</v>
      </c>
      <c r="I20" s="41" t="s">
        <v>47</v>
      </c>
      <c r="J20" s="42">
        <f>IFERROR(VLOOKUP($J$6,'Расчет'!$A$2:$AA$20,7,0),"")</f>
        <v>0.3587</v>
      </c>
      <c r="L20" s="43" t="str">
        <f>IFERROR(REPT("█",ROUND(VLOOKUP($J$6,'Расчет'!$A$2:$AA$20,7,0)*10,0)),"")</f>
        <v>████</v>
      </c>
    </row>
    <row r="21" ht="18.0" customHeight="1">
      <c r="B21" s="37">
        <v>12.0</v>
      </c>
      <c r="D21" s="20" t="s">
        <v>48</v>
      </c>
      <c r="E21" s="33">
        <f>IFERROR(IF($E$6="Экономический (Б1=50%)",VLOOKUP(D21,'Расчет'!$A$2:$AA$20,14,0),IF($E$6="Технологический (Б3=55%)",VLOOKUP(D21,'Расчет'!$A$2:$AA$20,19,0),IF($E$6="Регуляторный (Б4=25%)",VLOOKUP(D21,'Расчет'!$A$2:$AA$20,24,0),VLOOKUP(D21,'Расчет'!$A$2:$AA$20,3,0)))),"")</f>
        <v>0.2852</v>
      </c>
      <c r="F21" s="33">
        <f>IFERROR(IF($E$6="Экономический (Б1=50%)",VLOOKUP(D21,'Расчет'!$A$2:$AA$20,15,0),IF($E$6="Технологический (Б3=55%)",VLOOKUP(D21,'Расчет'!$A$2:$AA$20,20,0),IF($E$6="Регуляторный (Б4=25%)",VLOOKUP(D21,'Расчет'!$A$2:$AA$20,25,0),VLOOKUP(D21,'Расчет'!$A$2:$AA$20,4,0)))),"")</f>
        <v>0.2835</v>
      </c>
      <c r="G21" s="33">
        <f>IFERROR(IF($E$6="Экономический (Б1=50%)",VLOOKUP(D21,'Расчет'!$A$2:$AA$20,16,0),IF($E$6="Технологический (Б3=55%)",VLOOKUP(D21,'Расчет'!$A$2:$AA$20,21,0),IF($E$6="Регуляторный (Б4=25%)",VLOOKUP(D21,'Расчет'!$A$2:$AA$20,26,0),VLOOKUP(D21,'Расчет'!$A$2:$AA$20,5,0)))),"")</f>
        <v>0.2793</v>
      </c>
      <c r="I21" s="44" t="s">
        <v>49</v>
      </c>
      <c r="J21" s="45">
        <f>IFERROR(VLOOKUP($J$6,'Расчет'!$A$2:$AA$20,8,0),"")</f>
        <v>0.588</v>
      </c>
      <c r="L21" s="46" t="str">
        <f>IFERROR(REPT("█",ROUND(VLOOKUP($J$6,'Расчет'!$A$2:$AA$20,8,0)*10,0)),"")</f>
        <v>██████</v>
      </c>
    </row>
    <row r="22" ht="18.0" customHeight="1">
      <c r="B22" s="38">
        <v>13.0</v>
      </c>
      <c r="D22" s="28" t="s">
        <v>50</v>
      </c>
      <c r="E22" s="29">
        <f>IFERROR(IF($E$6="Экономический (Б1=50%)",VLOOKUP(D22,'Расчет'!$A$2:$AA$20,14,0),IF($E$6="Технологический (Б3=55%)",VLOOKUP(D22,'Расчет'!$A$2:$AA$20,19,0),IF($E$6="Регуляторный (Б4=25%)",VLOOKUP(D22,'Расчет'!$A$2:$AA$20,24,0),VLOOKUP(D22,'Расчет'!$A$2:$AA$20,3,0)))),"")</f>
        <v>0.3104</v>
      </c>
      <c r="F22" s="29">
        <f>IFERROR(IF($E$6="Экономический (Б1=50%)",VLOOKUP(D22,'Расчет'!$A$2:$AA$20,15,0),IF($E$6="Технологический (Б3=55%)",VLOOKUP(D22,'Расчет'!$A$2:$AA$20,20,0),IF($E$6="Регуляторный (Б4=25%)",VLOOKUP(D22,'Расчет'!$A$2:$AA$20,25,0),VLOOKUP(D22,'Расчет'!$A$2:$AA$20,4,0)))),"")</f>
        <v>0.3121</v>
      </c>
      <c r="G22" s="29">
        <f>IFERROR(IF($E$6="Экономический (Б1=50%)",VLOOKUP(D22,'Расчет'!$A$2:$AA$20,16,0),IF($E$6="Технологический (Б3=55%)",VLOOKUP(D22,'Расчет'!$A$2:$AA$20,21,0),IF($E$6="Регуляторный (Б4=25%)",VLOOKUP(D22,'Расчет'!$A$2:$AA$20,26,0),VLOOKUP(D22,'Расчет'!$A$2:$AA$20,5,0)))),"")</f>
        <v>0.3164</v>
      </c>
      <c r="I22" s="47" t="s">
        <v>51</v>
      </c>
      <c r="J22" s="48">
        <f>IFERROR(VLOOKUP($J$6,'Расчет'!$A$2:$AA$20,9,0),"")</f>
        <v>0.5158</v>
      </c>
      <c r="L22" s="49" t="str">
        <f>IFERROR(REPT("█",ROUND(VLOOKUP($J$6,'Расчет'!$A$2:$AA$20,9,0)*10,0)),"")</f>
        <v>█████</v>
      </c>
    </row>
    <row r="23" ht="18.0" customHeight="1">
      <c r="B23" s="37">
        <v>14.0</v>
      </c>
      <c r="D23" s="20" t="s">
        <v>52</v>
      </c>
      <c r="E23" s="33">
        <f>IFERROR(IF($E$6="Экономический (Б1=50%)",VLOOKUP(D23,'Расчет'!$A$2:$AA$20,14,0),IF($E$6="Технологический (Б3=55%)",VLOOKUP(D23,'Расчет'!$A$2:$AA$20,19,0),IF($E$6="Регуляторный (Б4=25%)",VLOOKUP(D23,'Расчет'!$A$2:$AA$20,24,0),VLOOKUP(D23,'Расчет'!$A$2:$AA$20,3,0)))),"")</f>
        <v>0.2523</v>
      </c>
      <c r="F23" s="33">
        <f>IFERROR(IF($E$6="Экономический (Б1=50%)",VLOOKUP(D23,'Расчет'!$A$2:$AA$20,15,0),IF($E$6="Технологический (Б3=55%)",VLOOKUP(D23,'Расчет'!$A$2:$AA$20,20,0),IF($E$6="Регуляторный (Б4=25%)",VLOOKUP(D23,'Расчет'!$A$2:$AA$20,25,0),VLOOKUP(D23,'Расчет'!$A$2:$AA$20,4,0)))),"")</f>
        <v>0.2502</v>
      </c>
      <c r="G23" s="33">
        <f>IFERROR(IF($E$6="Экономический (Б1=50%)",VLOOKUP(D23,'Расчет'!$A$2:$AA$20,16,0),IF($E$6="Технологический (Б3=55%)",VLOOKUP(D23,'Расчет'!$A$2:$AA$20,21,0),IF($E$6="Регуляторный (Б4=25%)",VLOOKUP(D23,'Расчет'!$A$2:$AA$20,26,0),VLOOKUP(D23,'Расчет'!$A$2:$AA$20,5,0)))),"")</f>
        <v>0.2451</v>
      </c>
      <c r="I23" s="50" t="s">
        <v>53</v>
      </c>
      <c r="J23" s="51">
        <f>IFERROR(VLOOKUP($J$6,'Расчет'!$A$2:$AA$20,10,0),"")</f>
        <v>0.4509</v>
      </c>
      <c r="L23" s="52" t="str">
        <f>IFERROR(REPT("█",ROUND(VLOOKUP($J$6,'Расчет'!$A$2:$AA$20,10,0)*10,0)),"")</f>
        <v>█████</v>
      </c>
    </row>
    <row r="24" ht="22.5" customHeight="1">
      <c r="B24" s="38">
        <v>15.0</v>
      </c>
      <c r="D24" s="28" t="s">
        <v>54</v>
      </c>
      <c r="E24" s="29">
        <f>IFERROR(IF($E$6="Экономический (Б1=50%)",VLOOKUP(D24,'Расчет'!$A$2:$AA$20,14,0),IF($E$6="Технологический (Б3=55%)",VLOOKUP(D24,'Расчет'!$A$2:$AA$20,19,0),IF($E$6="Регуляторный (Б4=25%)",VLOOKUP(D24,'Расчет'!$A$2:$AA$20,24,0),VLOOKUP(D24,'Расчет'!$A$2:$AA$20,3,0)))),"")</f>
        <v>0.2594</v>
      </c>
      <c r="F24" s="29">
        <f>IFERROR(IF($E$6="Экономический (Б1=50%)",VLOOKUP(D24,'Расчет'!$A$2:$AA$20,15,0),IF($E$6="Технологический (Б3=55%)",VLOOKUP(D24,'Расчет'!$A$2:$AA$20,20,0),IF($E$6="Регуляторный (Б4=25%)",VLOOKUP(D24,'Расчет'!$A$2:$AA$20,25,0),VLOOKUP(D24,'Расчет'!$A$2:$AA$20,4,0)))),"")</f>
        <v>0.258</v>
      </c>
      <c r="G24" s="29">
        <f>IFERROR(IF($E$6="Экономический (Б1=50%)",VLOOKUP(D24,'Расчет'!$A$2:$AA$20,16,0),IF($E$6="Технологический (Б3=55%)",VLOOKUP(D24,'Расчет'!$A$2:$AA$20,21,0),IF($E$6="Регуляторный (Б4=25%)",VLOOKUP(D24,'Расчет'!$A$2:$AA$20,26,0),VLOOKUP(D24,'Расчет'!$A$2:$AA$20,5,0)))),"")</f>
        <v>0.2545</v>
      </c>
    </row>
    <row r="25" ht="15.75" customHeight="1">
      <c r="B25" s="37">
        <v>16.0</v>
      </c>
      <c r="D25" s="20" t="s">
        <v>55</v>
      </c>
      <c r="E25" s="33">
        <f>IFERROR(IF($E$6="Экономический (Б1=50%)",VLOOKUP(D25,'Расчет'!$A$2:$AA$20,14,0),IF($E$6="Технологический (Б3=55%)",VLOOKUP(D25,'Расчет'!$A$2:$AA$20,19,0),IF($E$6="Регуляторный (Б4=25%)",VLOOKUP(D25,'Расчет'!$A$2:$AA$20,24,0),VLOOKUP(D25,'Расчет'!$A$2:$AA$20,3,0)))),"")</f>
        <v>0.2268</v>
      </c>
      <c r="F25" s="33">
        <f>IFERROR(IF($E$6="Экономический (Б1=50%)",VLOOKUP(D25,'Расчет'!$A$2:$AA$20,15,0),IF($E$6="Технологический (Б3=55%)",VLOOKUP(D25,'Расчет'!$A$2:$AA$20,20,0),IF($E$6="Регуляторный (Б4=25%)",VLOOKUP(D25,'Расчет'!$A$2:$AA$20,25,0),VLOOKUP(D25,'Расчет'!$A$2:$AA$20,4,0)))),"")</f>
        <v>0.2253</v>
      </c>
      <c r="G25" s="33">
        <f>IFERROR(IF($E$6="Экономический (Б1=50%)",VLOOKUP(D25,'Расчет'!$A$2:$AA$20,16,0),IF($E$6="Технологический (Б3=55%)",VLOOKUP(D25,'Расчет'!$A$2:$AA$20,21,0),IF($E$6="Регуляторный (Б4=25%)",VLOOKUP(D25,'Расчет'!$A$2:$AA$20,26,0),VLOOKUP(D25,'Расчет'!$A$2:$AA$20,5,0)))),"")</f>
        <v>0.2217</v>
      </c>
      <c r="I25" s="4" t="s">
        <v>56</v>
      </c>
      <c r="J25" s="2"/>
      <c r="K25" s="2"/>
      <c r="L25" s="2"/>
      <c r="M25" s="3"/>
    </row>
    <row r="26" ht="15.75" customHeight="1">
      <c r="B26" s="38">
        <v>17.0</v>
      </c>
      <c r="D26" s="28" t="s">
        <v>57</v>
      </c>
      <c r="E26" s="29">
        <f>IFERROR(IF($E$6="Экономический (Б1=50%)",VLOOKUP(D26,'Расчет'!$A$2:$AA$20,14,0),IF($E$6="Технологический (Б3=55%)",VLOOKUP(D26,'Расчет'!$A$2:$AA$20,19,0),IF($E$6="Регуляторный (Б4=25%)",VLOOKUP(D26,'Расчет'!$A$2:$AA$20,24,0),VLOOKUP(D26,'Расчет'!$A$2:$AA$20,3,0)))),"")</f>
        <v>0.2395</v>
      </c>
      <c r="F26" s="29">
        <f>IFERROR(IF($E$6="Экономический (Б1=50%)",VLOOKUP(D26,'Расчет'!$A$2:$AA$20,15,0),IF($E$6="Технологический (Б3=55%)",VLOOKUP(D26,'Расчет'!$A$2:$AA$20,20,0),IF($E$6="Регуляторный (Б4=25%)",VLOOKUP(D26,'Расчет'!$A$2:$AA$20,25,0),VLOOKUP(D26,'Расчет'!$A$2:$AA$20,4,0)))),"")</f>
        <v>0.2384</v>
      </c>
      <c r="G26" s="29">
        <f>IFERROR(IF($E$6="Экономический (Б1=50%)",VLOOKUP(D26,'Расчет'!$A$2:$AA$20,16,0),IF($E$6="Технологический (Б3=55%)",VLOOKUP(D26,'Расчет'!$A$2:$AA$20,21,0),IF($E$6="Регуляторный (Б4=25%)",VLOOKUP(D26,'Расчет'!$A$2:$AA$20,26,0),VLOOKUP(D26,'Расчет'!$A$2:$AA$20,5,0)))),"")</f>
        <v>0.2358</v>
      </c>
      <c r="I26" s="53" t="str">
        <f>IFERROR(VLOOKUP($J$6,'Расчет'!$A$2:$AA$20,11,0),"")</f>
        <v>▸ Экономика: 36%   ▸ Цифровизация: 52%   ▸ Регуляторика: 45%</v>
      </c>
      <c r="J26" s="22"/>
      <c r="K26" s="22"/>
      <c r="L26" s="22"/>
      <c r="M26" s="23"/>
    </row>
    <row r="27" ht="18.0" customHeight="1">
      <c r="B27" s="37">
        <v>18.0</v>
      </c>
      <c r="D27" s="20" t="s">
        <v>58</v>
      </c>
      <c r="E27" s="33">
        <f>IFERROR(IF($E$6="Экономический (Б1=50%)",VLOOKUP(D27,'Расчет'!$A$2:$AA$20,14,0),IF($E$6="Технологический (Б3=55%)",VLOOKUP(D27,'Расчет'!$A$2:$AA$20,19,0),IF($E$6="Регуляторный (Б4=25%)",VLOOKUP(D27,'Расчет'!$A$2:$AA$20,24,0),VLOOKUP(D27,'Расчет'!$A$2:$AA$20,3,0)))),"")</f>
        <v>0.2442</v>
      </c>
      <c r="F27" s="33">
        <f>IFERROR(IF($E$6="Экономический (Б1=50%)",VLOOKUP(D27,'Расчет'!$A$2:$AA$20,15,0),IF($E$6="Технологический (Б3=55%)",VLOOKUP(D27,'Расчет'!$A$2:$AA$20,20,0),IF($E$6="Регуляторный (Б4=25%)",VLOOKUP(D27,'Расчет'!$A$2:$AA$20,25,0),VLOOKUP(D27,'Расчет'!$A$2:$AA$20,4,0)))),"")</f>
        <v>0.244</v>
      </c>
      <c r="G27" s="33">
        <f>IFERROR(IF($E$6="Экономический (Б1=50%)",VLOOKUP(D27,'Расчет'!$A$2:$AA$20,16,0),IF($E$6="Технологический (Б3=55%)",VLOOKUP(D27,'Расчет'!$A$2:$AA$20,21,0),IF($E$6="Регуляторный (Б4=25%)",VLOOKUP(D27,'Расчет'!$A$2:$AA$20,26,0),VLOOKUP(D27,'Расчет'!$A$2:$AA$20,5,0)))),"")</f>
        <v>0.2437</v>
      </c>
      <c r="I27" s="54" t="str">
        <f>IFERROR(VLOOKUP($J$6,'Расчет'!$A$2:$AA$20,12,0),"")</f>
        <v>→ Стабильно</v>
      </c>
      <c r="J27" s="22"/>
      <c r="K27" s="22"/>
      <c r="L27" s="22"/>
      <c r="M27" s="23"/>
    </row>
    <row r="28" ht="15.75" customHeight="1">
      <c r="B28" s="38">
        <v>19.0</v>
      </c>
      <c r="D28" s="28" t="s">
        <v>59</v>
      </c>
      <c r="E28" s="29">
        <f>IFERROR(IF($E$6="Экономический (Б1=50%)",VLOOKUP(D28,'Расчет'!$A$2:$AA$20,14,0),IF($E$6="Технологический (Б3=55%)",VLOOKUP(D28,'Расчет'!$A$2:$AA$20,19,0),IF($E$6="Регуляторный (Б4=25%)",VLOOKUP(D28,'Расчет'!$A$2:$AA$20,24,0),VLOOKUP(D28,'Расчет'!$A$2:$AA$20,3,0)))),"")</f>
        <v>0.1784</v>
      </c>
      <c r="F28" s="29">
        <f>IFERROR(IF($E$6="Экономический (Б1=50%)",VLOOKUP(D28,'Расчет'!$A$2:$AA$20,15,0),IF($E$6="Технологический (Б3=55%)",VLOOKUP(D28,'Расчет'!$A$2:$AA$20,20,0),IF($E$6="Регуляторный (Б4=25%)",VLOOKUP(D28,'Расчет'!$A$2:$AA$20,25,0),VLOOKUP(D28,'Расчет'!$A$2:$AA$20,4,0)))),"")</f>
        <v>0.1756</v>
      </c>
      <c r="G28" s="29">
        <f>IFERROR(IF($E$6="Экономический (Б1=50%)",VLOOKUP(D28,'Расчет'!$A$2:$AA$20,16,0),IF($E$6="Технологический (Б3=55%)",VLOOKUP(D28,'Расчет'!$A$2:$AA$20,21,0),IF($E$6="Регуляторный (Б4=25%)",VLOOKUP(D28,'Расчет'!$A$2:$AA$20,26,0),VLOOKUP(D28,'Расчет'!$A$2:$AA$20,5,0)))),"")</f>
        <v>0.1685</v>
      </c>
    </row>
    <row r="29" ht="12.75" customHeight="1">
      <c r="I29" s="55" t="s">
        <v>60</v>
      </c>
    </row>
    <row r="30" ht="15.75" customHeight="1">
      <c r="D30" s="56" t="s">
        <v>61</v>
      </c>
      <c r="E30" s="2"/>
      <c r="F30" s="2"/>
      <c r="G30" s="3"/>
    </row>
    <row r="31" ht="15.0" customHeight="1">
      <c r="D31" s="57" t="s">
        <v>62</v>
      </c>
      <c r="E31" s="58" t="s">
        <v>63</v>
      </c>
      <c r="F31" s="59" t="s">
        <v>64</v>
      </c>
      <c r="G31" s="60" t="s">
        <v>65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I19:M19"/>
    <mergeCell ref="I25:M25"/>
    <mergeCell ref="I26:M26"/>
    <mergeCell ref="I27:M27"/>
    <mergeCell ref="I29:M29"/>
    <mergeCell ref="D30:G30"/>
    <mergeCell ref="B1:M1"/>
    <mergeCell ref="D4:G4"/>
    <mergeCell ref="I4:M4"/>
    <mergeCell ref="D5:G5"/>
    <mergeCell ref="E7:G7"/>
    <mergeCell ref="I9:M9"/>
    <mergeCell ref="I12:M12"/>
  </mergeCells>
  <conditionalFormatting sqref="E10:G28">
    <cfRule type="colorScale" priority="1">
      <colorScale>
        <cfvo type="min" val="0"/>
        <cfvo type="percentile" val="50"/>
        <cfvo type="max" val="0"/>
        <color rgb="FFB8D4EE"/>
        <color rgb="FF5090D0"/>
        <color rgb="FF1B3A6B"/>
      </colorScale>
    </cfRule>
  </conditionalFormatting>
  <dataValidations>
    <dataValidation type="list" allowBlank="1" sqref="J6">
      <formula1>'_Списки'!$A$1:$A$19</formula1>
    </dataValidation>
    <dataValidation type="list" allowBlank="1" sqref="E6">
      <formula1>"Базовый,Экономический (Б1=50%),Технологический (Б3=55%),Регуляторный (Б4=25%)"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13.0"/>
    <col customWidth="1" min="3" max="3" width="10.0"/>
    <col customWidth="1" min="4" max="4" width="13.0"/>
    <col customWidth="1" min="5" max="5" width="10.0"/>
    <col customWidth="1" min="6" max="6" width="13.0"/>
    <col customWidth="1" min="7" max="7" width="10.0"/>
    <col customWidth="1" min="8" max="8" width="13.0"/>
    <col customWidth="1" min="9" max="9" width="10.0"/>
    <col customWidth="1" min="10" max="10" width="13.0"/>
    <col customWidth="1" min="11" max="11" width="10.0"/>
    <col customWidth="1" min="12" max="26" width="8.71"/>
  </cols>
  <sheetData>
    <row r="1" ht="27.75" customHeight="1">
      <c r="A1" s="61" t="s">
        <v>66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8.0" customHeight="1">
      <c r="A2" s="62" t="s">
        <v>67</v>
      </c>
      <c r="B2" s="2"/>
      <c r="C2" s="2"/>
      <c r="D2" s="2"/>
      <c r="E2" s="2"/>
      <c r="F2" s="2"/>
      <c r="G2" s="2"/>
      <c r="H2" s="2"/>
      <c r="I2" s="2"/>
      <c r="J2" s="2"/>
      <c r="K2" s="3"/>
    </row>
    <row r="4" ht="19.5" customHeight="1">
      <c r="A4" s="63" t="s">
        <v>68</v>
      </c>
      <c r="B4" s="64" t="s">
        <v>69</v>
      </c>
      <c r="C4" s="64" t="s">
        <v>70</v>
      </c>
      <c r="D4" s="64" t="s">
        <v>71</v>
      </c>
      <c r="E4" s="64" t="s">
        <v>70</v>
      </c>
      <c r="F4" s="64" t="s">
        <v>72</v>
      </c>
      <c r="G4" s="64" t="s">
        <v>70</v>
      </c>
      <c r="H4" s="64" t="s">
        <v>73</v>
      </c>
      <c r="I4" s="64" t="s">
        <v>70</v>
      </c>
      <c r="J4" s="64" t="s">
        <v>74</v>
      </c>
      <c r="K4" s="64" t="s">
        <v>70</v>
      </c>
    </row>
    <row r="5" ht="21.75" customHeight="1">
      <c r="A5" s="65" t="s">
        <v>75</v>
      </c>
      <c r="B5" s="66" t="s">
        <v>76</v>
      </c>
      <c r="C5" s="67">
        <v>10.0</v>
      </c>
      <c r="D5" s="68" t="s">
        <v>77</v>
      </c>
      <c r="E5" s="67">
        <v>10.0</v>
      </c>
      <c r="F5" s="68" t="s">
        <v>78</v>
      </c>
      <c r="G5" s="67">
        <v>10.0</v>
      </c>
      <c r="H5" s="68" t="s">
        <v>79</v>
      </c>
      <c r="I5" s="67">
        <v>10.0</v>
      </c>
      <c r="J5" s="68" t="s">
        <v>80</v>
      </c>
      <c r="K5" s="67">
        <v>10.0</v>
      </c>
    </row>
    <row r="6" ht="19.5" customHeight="1">
      <c r="A6" s="65" t="s">
        <v>81</v>
      </c>
      <c r="B6" s="25" t="s">
        <v>82</v>
      </c>
      <c r="C6" s="25" t="s">
        <v>83</v>
      </c>
      <c r="D6" s="25" t="s">
        <v>82</v>
      </c>
      <c r="E6" s="25" t="s">
        <v>83</v>
      </c>
      <c r="F6" s="25" t="s">
        <v>82</v>
      </c>
      <c r="G6" s="25" t="s">
        <v>83</v>
      </c>
      <c r="H6" s="25" t="s">
        <v>82</v>
      </c>
      <c r="I6" s="25" t="s">
        <v>83</v>
      </c>
      <c r="J6" s="25" t="s">
        <v>82</v>
      </c>
      <c r="K6" s="25" t="s">
        <v>83</v>
      </c>
    </row>
    <row r="7" ht="19.5" customHeight="1">
      <c r="A7" s="25" t="s">
        <v>26</v>
      </c>
    </row>
    <row r="8" ht="15.75" customHeight="1">
      <c r="A8" s="28" t="s">
        <v>22</v>
      </c>
      <c r="B8" s="69">
        <v>3.0</v>
      </c>
      <c r="C8" s="29">
        <f>IFERROR((B8-MIN(B8:B26))/(MAX(B8:B26)-MIN(B8:B26)),0.5)</f>
        <v>0.5</v>
      </c>
      <c r="D8" s="69">
        <v>3.0</v>
      </c>
      <c r="E8" s="29">
        <f>IFERROR((D8-MIN(D8:D26))/(MAX(D8:D26)-MIN(D8:D26)),0.5)</f>
        <v>0.5</v>
      </c>
      <c r="F8" s="69">
        <v>3.0</v>
      </c>
      <c r="G8" s="29">
        <f>IFERROR((F8-MIN(F8:F26))/(MAX(F8:F26)-MIN(F8:F26)),0.5)</f>
        <v>0.5</v>
      </c>
      <c r="H8" s="69">
        <v>3.0</v>
      </c>
      <c r="I8" s="29">
        <f>IFERROR((H8-MIN(H8:H26))/(MAX(H8:H26)-MIN(H8:H26)),0.5)</f>
        <v>0.5</v>
      </c>
      <c r="J8" s="69">
        <v>3.0</v>
      </c>
      <c r="K8" s="29">
        <f>IFERROR((J8-MIN(J8:J26))/(MAX(J8:J26)-MIN(J8:J26)),0.5)</f>
        <v>0.5</v>
      </c>
    </row>
    <row r="9" ht="15.75" customHeight="1">
      <c r="A9" s="20" t="s">
        <v>31</v>
      </c>
      <c r="B9" s="69">
        <v>3.0</v>
      </c>
      <c r="C9" s="33">
        <f>IFERROR((B9-MIN(B8:B26))/(MAX(B8:B26)-MIN(B8:B26)),0.5)</f>
        <v>0.5</v>
      </c>
      <c r="D9" s="69">
        <v>3.0</v>
      </c>
      <c r="E9" s="33">
        <f>IFERROR((D9-MIN(D8:D26))/(MAX(D8:D26)-MIN(D8:D26)),0.5)</f>
        <v>0.5</v>
      </c>
      <c r="F9" s="69">
        <v>3.0</v>
      </c>
      <c r="G9" s="33">
        <f>IFERROR((F9-MIN(F8:F26))/(MAX(F8:F26)-MIN(F8:F26)),0.5)</f>
        <v>0.5</v>
      </c>
      <c r="H9" s="69">
        <v>3.0</v>
      </c>
      <c r="I9" s="33">
        <f>IFERROR((H9-MIN(H8:H26))/(MAX(H8:H26)-MIN(H8:H26)),0.5)</f>
        <v>0.5</v>
      </c>
      <c r="J9" s="69">
        <v>3.0</v>
      </c>
      <c r="K9" s="33">
        <f>IFERROR((J9-MIN(J8:J26))/(MAX(J8:J26)-MIN(J8:J26)),0.5)</f>
        <v>0.5</v>
      </c>
    </row>
    <row r="10" ht="15.75" customHeight="1">
      <c r="A10" s="28" t="s">
        <v>32</v>
      </c>
      <c r="B10" s="69">
        <v>3.0</v>
      </c>
      <c r="C10" s="29">
        <f>IFERROR((B10-MIN(B8:B26))/(MAX(B8:B26)-MIN(B8:B26)),0.5)</f>
        <v>0.5</v>
      </c>
      <c r="D10" s="69">
        <v>3.0</v>
      </c>
      <c r="E10" s="29">
        <f>IFERROR((D10-MIN(D8:D26))/(MAX(D8:D26)-MIN(D8:D26)),0.5)</f>
        <v>0.5</v>
      </c>
      <c r="F10" s="69">
        <v>3.0</v>
      </c>
      <c r="G10" s="29">
        <f>IFERROR((F10-MIN(F8:F26))/(MAX(F8:F26)-MIN(F8:F26)),0.5)</f>
        <v>0.5</v>
      </c>
      <c r="H10" s="69">
        <v>3.0</v>
      </c>
      <c r="I10" s="29">
        <f>IFERROR((H10-MIN(H8:H26))/(MAX(H8:H26)-MIN(H8:H26)),0.5)</f>
        <v>0.5</v>
      </c>
      <c r="J10" s="69">
        <v>3.0</v>
      </c>
      <c r="K10" s="29">
        <f>IFERROR((J10-MIN(J8:J26))/(MAX(J8:J26)-MIN(J8:J26)),0.5)</f>
        <v>0.5</v>
      </c>
    </row>
    <row r="11" ht="15.75" customHeight="1">
      <c r="A11" s="20" t="s">
        <v>34</v>
      </c>
      <c r="B11" s="69">
        <v>3.0</v>
      </c>
      <c r="C11" s="33">
        <f>IFERROR((B11-MIN(B8:B26))/(MAX(B8:B26)-MIN(B8:B26)),0.5)</f>
        <v>0.5</v>
      </c>
      <c r="D11" s="69">
        <v>3.0</v>
      </c>
      <c r="E11" s="33">
        <f>IFERROR((D11-MIN(D8:D26))/(MAX(D8:D26)-MIN(D8:D26)),0.5)</f>
        <v>0.5</v>
      </c>
      <c r="F11" s="69">
        <v>3.0</v>
      </c>
      <c r="G11" s="33">
        <f>IFERROR((F11-MIN(F8:F26))/(MAX(F8:F26)-MIN(F8:F26)),0.5)</f>
        <v>0.5</v>
      </c>
      <c r="H11" s="69">
        <v>3.0</v>
      </c>
      <c r="I11" s="33">
        <f>IFERROR((H11-MIN(H8:H26))/(MAX(H8:H26)-MIN(H8:H26)),0.5)</f>
        <v>0.5</v>
      </c>
      <c r="J11" s="69">
        <v>3.0</v>
      </c>
      <c r="K11" s="33">
        <f>IFERROR((J11-MIN(J8:J26))/(MAX(J8:J26)-MIN(J8:J26)),0.5)</f>
        <v>0.5</v>
      </c>
    </row>
    <row r="12" ht="15.75" customHeight="1">
      <c r="A12" s="28" t="s">
        <v>36</v>
      </c>
      <c r="B12" s="69">
        <v>3.0</v>
      </c>
      <c r="C12" s="29">
        <f>IFERROR((B12-MIN(B8:B26))/(MAX(B8:B26)-MIN(B8:B26)),0.5)</f>
        <v>0.5</v>
      </c>
      <c r="D12" s="69">
        <v>3.0</v>
      </c>
      <c r="E12" s="29">
        <f>IFERROR((D12-MIN(D8:D26))/(MAX(D8:D26)-MIN(D8:D26)),0.5)</f>
        <v>0.5</v>
      </c>
      <c r="F12" s="69">
        <v>3.0</v>
      </c>
      <c r="G12" s="29">
        <f>IFERROR((F12-MIN(F8:F26))/(MAX(F8:F26)-MIN(F8:F26)),0.5)</f>
        <v>0.5</v>
      </c>
      <c r="H12" s="69">
        <v>3.0</v>
      </c>
      <c r="I12" s="29">
        <f>IFERROR((H12-MIN(H8:H26))/(MAX(H8:H26)-MIN(H8:H26)),0.5)</f>
        <v>0.5</v>
      </c>
      <c r="J12" s="69">
        <v>3.0</v>
      </c>
      <c r="K12" s="29">
        <f>IFERROR((J12-MIN(J8:J26))/(MAX(J8:J26)-MIN(J8:J26)),0.5)</f>
        <v>0.5</v>
      </c>
    </row>
    <row r="13" ht="15.75" customHeight="1">
      <c r="A13" s="20" t="s">
        <v>38</v>
      </c>
      <c r="B13" s="69">
        <v>3.0</v>
      </c>
      <c r="C13" s="33">
        <f>IFERROR((B13-MIN(B8:B26))/(MAX(B8:B26)-MIN(B8:B26)),0.5)</f>
        <v>0.5</v>
      </c>
      <c r="D13" s="69">
        <v>3.0</v>
      </c>
      <c r="E13" s="33">
        <f>IFERROR((D13-MIN(D8:D26))/(MAX(D8:D26)-MIN(D8:D26)),0.5)</f>
        <v>0.5</v>
      </c>
      <c r="F13" s="69">
        <v>3.0</v>
      </c>
      <c r="G13" s="33">
        <f>IFERROR((F13-MIN(F8:F26))/(MAX(F8:F26)-MIN(F8:F26)),0.5)</f>
        <v>0.5</v>
      </c>
      <c r="H13" s="69">
        <v>3.0</v>
      </c>
      <c r="I13" s="33">
        <f>IFERROR((H13-MIN(H8:H26))/(MAX(H8:H26)-MIN(H8:H26)),0.5)</f>
        <v>0.5</v>
      </c>
      <c r="J13" s="69">
        <v>3.0</v>
      </c>
      <c r="K13" s="33">
        <f>IFERROR((J13-MIN(J8:J26))/(MAX(J8:J26)-MIN(J8:J26)),0.5)</f>
        <v>0.5</v>
      </c>
    </row>
    <row r="14" ht="15.75" customHeight="1">
      <c r="A14" s="28" t="s">
        <v>40</v>
      </c>
      <c r="B14" s="69">
        <v>3.0</v>
      </c>
      <c r="C14" s="29">
        <f>IFERROR((B14-MIN(B8:B26))/(MAX(B8:B26)-MIN(B8:B26)),0.5)</f>
        <v>0.5</v>
      </c>
      <c r="D14" s="69">
        <v>3.0</v>
      </c>
      <c r="E14" s="29">
        <f>IFERROR((D14-MIN(D8:D26))/(MAX(D8:D26)-MIN(D8:D26)),0.5)</f>
        <v>0.5</v>
      </c>
      <c r="F14" s="69">
        <v>3.0</v>
      </c>
      <c r="G14" s="29">
        <f>IFERROR((F14-MIN(F8:F26))/(MAX(F8:F26)-MIN(F8:F26)),0.5)</f>
        <v>0.5</v>
      </c>
      <c r="H14" s="69">
        <v>3.0</v>
      </c>
      <c r="I14" s="29">
        <f>IFERROR((H14-MIN(H8:H26))/(MAX(H8:H26)-MIN(H8:H26)),0.5)</f>
        <v>0.5</v>
      </c>
      <c r="J14" s="69">
        <v>3.0</v>
      </c>
      <c r="K14" s="29">
        <f>IFERROR((J14-MIN(J8:J26))/(MAX(J8:J26)-MIN(J8:J26)),0.5)</f>
        <v>0.5</v>
      </c>
    </row>
    <row r="15" ht="15.75" customHeight="1">
      <c r="A15" s="20" t="s">
        <v>41</v>
      </c>
      <c r="B15" s="69">
        <v>3.0</v>
      </c>
      <c r="C15" s="33">
        <f>IFERROR((B15-MIN(B8:B26))/(MAX(B8:B26)-MIN(B8:B26)),0.5)</f>
        <v>0.5</v>
      </c>
      <c r="D15" s="69">
        <v>3.0</v>
      </c>
      <c r="E15" s="33">
        <f>IFERROR((D15-MIN(D8:D26))/(MAX(D8:D26)-MIN(D8:D26)),0.5)</f>
        <v>0.5</v>
      </c>
      <c r="F15" s="69">
        <v>3.0</v>
      </c>
      <c r="G15" s="33">
        <f>IFERROR((F15-MIN(F8:F26))/(MAX(F8:F26)-MIN(F8:F26)),0.5)</f>
        <v>0.5</v>
      </c>
      <c r="H15" s="69">
        <v>3.0</v>
      </c>
      <c r="I15" s="33">
        <f>IFERROR((H15-MIN(H8:H26))/(MAX(H8:H26)-MIN(H8:H26)),0.5)</f>
        <v>0.5</v>
      </c>
      <c r="J15" s="69">
        <v>3.0</v>
      </c>
      <c r="K15" s="33">
        <f>IFERROR((J15-MIN(J8:J26))/(MAX(J8:J26)-MIN(J8:J26)),0.5)</f>
        <v>0.5</v>
      </c>
    </row>
    <row r="16" ht="15.75" customHeight="1">
      <c r="A16" s="28" t="s">
        <v>43</v>
      </c>
      <c r="B16" s="69">
        <v>3.0</v>
      </c>
      <c r="C16" s="29">
        <f>IFERROR((B16-MIN(B8:B26))/(MAX(B8:B26)-MIN(B8:B26)),0.5)</f>
        <v>0.5</v>
      </c>
      <c r="D16" s="69">
        <v>3.0</v>
      </c>
      <c r="E16" s="29">
        <f>IFERROR((D16-MIN(D8:D26))/(MAX(D8:D26)-MIN(D8:D26)),0.5)</f>
        <v>0.5</v>
      </c>
      <c r="F16" s="69">
        <v>3.0</v>
      </c>
      <c r="G16" s="29">
        <f>IFERROR((F16-MIN(F8:F26))/(MAX(F8:F26)-MIN(F8:F26)),0.5)</f>
        <v>0.5</v>
      </c>
      <c r="H16" s="69">
        <v>3.0</v>
      </c>
      <c r="I16" s="29">
        <f>IFERROR((H16-MIN(H8:H26))/(MAX(H8:H26)-MIN(H8:H26)),0.5)</f>
        <v>0.5</v>
      </c>
      <c r="J16" s="69">
        <v>3.0</v>
      </c>
      <c r="K16" s="29">
        <f>IFERROR((J16-MIN(J8:J26))/(MAX(J8:J26)-MIN(J8:J26)),0.5)</f>
        <v>0.5</v>
      </c>
    </row>
    <row r="17" ht="15.75" customHeight="1">
      <c r="A17" s="20" t="s">
        <v>44</v>
      </c>
      <c r="B17" s="69">
        <v>3.0</v>
      </c>
      <c r="C17" s="33">
        <f>IFERROR((B17-MIN(B8:B26))/(MAX(B8:B26)-MIN(B8:B26)),0.5)</f>
        <v>0.5</v>
      </c>
      <c r="D17" s="69">
        <v>3.0</v>
      </c>
      <c r="E17" s="33">
        <f>IFERROR((D17-MIN(D8:D26))/(MAX(D8:D26)-MIN(D8:D26)),0.5)</f>
        <v>0.5</v>
      </c>
      <c r="F17" s="69">
        <v>3.0</v>
      </c>
      <c r="G17" s="33">
        <f>IFERROR((F17-MIN(F8:F26))/(MAX(F8:F26)-MIN(F8:F26)),0.5)</f>
        <v>0.5</v>
      </c>
      <c r="H17" s="69">
        <v>3.0</v>
      </c>
      <c r="I17" s="33">
        <f>IFERROR((H17-MIN(H8:H26))/(MAX(H8:H26)-MIN(H8:H26)),0.5)</f>
        <v>0.5</v>
      </c>
      <c r="J17" s="69">
        <v>3.0</v>
      </c>
      <c r="K17" s="33">
        <f>IFERROR((J17-MIN(J8:J26))/(MAX(J8:J26)-MIN(J8:J26)),0.5)</f>
        <v>0.5</v>
      </c>
    </row>
    <row r="18" ht="15.75" customHeight="1">
      <c r="A18" s="28" t="s">
        <v>46</v>
      </c>
      <c r="B18" s="69">
        <v>3.0</v>
      </c>
      <c r="C18" s="29">
        <f>IFERROR((B18-MIN(B8:B26))/(MAX(B8:B26)-MIN(B8:B26)),0.5)</f>
        <v>0.5</v>
      </c>
      <c r="D18" s="69">
        <v>3.0</v>
      </c>
      <c r="E18" s="29">
        <f>IFERROR((D18-MIN(D8:D26))/(MAX(D8:D26)-MIN(D8:D26)),0.5)</f>
        <v>0.5</v>
      </c>
      <c r="F18" s="69">
        <v>3.0</v>
      </c>
      <c r="G18" s="29">
        <f>IFERROR((F18-MIN(F8:F26))/(MAX(F8:F26)-MIN(F8:F26)),0.5)</f>
        <v>0.5</v>
      </c>
      <c r="H18" s="69">
        <v>3.0</v>
      </c>
      <c r="I18" s="29">
        <f>IFERROR((H18-MIN(H8:H26))/(MAX(H8:H26)-MIN(H8:H26)),0.5)</f>
        <v>0.5</v>
      </c>
      <c r="J18" s="69">
        <v>3.0</v>
      </c>
      <c r="K18" s="29">
        <f>IFERROR((J18-MIN(J8:J26))/(MAX(J8:J26)-MIN(J8:J26)),0.5)</f>
        <v>0.5</v>
      </c>
    </row>
    <row r="19" ht="15.75" customHeight="1">
      <c r="A19" s="20" t="s">
        <v>48</v>
      </c>
      <c r="B19" s="69">
        <v>3.0</v>
      </c>
      <c r="C19" s="33">
        <f>IFERROR((B19-MIN(B8:B26))/(MAX(B8:B26)-MIN(B8:B26)),0.5)</f>
        <v>0.5</v>
      </c>
      <c r="D19" s="69">
        <v>3.0</v>
      </c>
      <c r="E19" s="33">
        <f>IFERROR((D19-MIN(D8:D26))/(MAX(D8:D26)-MIN(D8:D26)),0.5)</f>
        <v>0.5</v>
      </c>
      <c r="F19" s="69">
        <v>3.0</v>
      </c>
      <c r="G19" s="33">
        <f>IFERROR((F19-MIN(F8:F26))/(MAX(F8:F26)-MIN(F8:F26)),0.5)</f>
        <v>0.5</v>
      </c>
      <c r="H19" s="69">
        <v>3.0</v>
      </c>
      <c r="I19" s="33">
        <f>IFERROR((H19-MIN(H8:H26))/(MAX(H8:H26)-MIN(H8:H26)),0.5)</f>
        <v>0.5</v>
      </c>
      <c r="J19" s="69">
        <v>3.0</v>
      </c>
      <c r="K19" s="33">
        <f>IFERROR((J19-MIN(J8:J26))/(MAX(J8:J26)-MIN(J8:J26)),0.5)</f>
        <v>0.5</v>
      </c>
    </row>
    <row r="20" ht="15.75" customHeight="1">
      <c r="A20" s="28" t="s">
        <v>50</v>
      </c>
      <c r="B20" s="69">
        <v>3.0</v>
      </c>
      <c r="C20" s="29">
        <f>IFERROR((B20-MIN(B8:B26))/(MAX(B8:B26)-MIN(B8:B26)),0.5)</f>
        <v>0.5</v>
      </c>
      <c r="D20" s="69">
        <v>3.0</v>
      </c>
      <c r="E20" s="29">
        <f>IFERROR((D20-MIN(D8:D26))/(MAX(D8:D26)-MIN(D8:D26)),0.5)</f>
        <v>0.5</v>
      </c>
      <c r="F20" s="69">
        <v>3.0</v>
      </c>
      <c r="G20" s="29">
        <f>IFERROR((F20-MIN(F8:F26))/(MAX(F8:F26)-MIN(F8:F26)),0.5)</f>
        <v>0.5</v>
      </c>
      <c r="H20" s="69">
        <v>3.0</v>
      </c>
      <c r="I20" s="29">
        <f>IFERROR((H20-MIN(H8:H26))/(MAX(H8:H26)-MIN(H8:H26)),0.5)</f>
        <v>0.5</v>
      </c>
      <c r="J20" s="69">
        <v>3.0</v>
      </c>
      <c r="K20" s="29">
        <f>IFERROR((J20-MIN(J8:J26))/(MAX(J8:J26)-MIN(J8:J26)),0.5)</f>
        <v>0.5</v>
      </c>
    </row>
    <row r="21" ht="15.75" customHeight="1">
      <c r="A21" s="20" t="s">
        <v>52</v>
      </c>
      <c r="B21" s="69">
        <v>3.0</v>
      </c>
      <c r="C21" s="33">
        <f>IFERROR((B21-MIN(B8:B26))/(MAX(B8:B26)-MIN(B8:B26)),0.5)</f>
        <v>0.5</v>
      </c>
      <c r="D21" s="69">
        <v>3.0</v>
      </c>
      <c r="E21" s="33">
        <f>IFERROR((D21-MIN(D8:D26))/(MAX(D8:D26)-MIN(D8:D26)),0.5)</f>
        <v>0.5</v>
      </c>
      <c r="F21" s="69">
        <v>3.0</v>
      </c>
      <c r="G21" s="33">
        <f>IFERROR((F21-MIN(F8:F26))/(MAX(F8:F26)-MIN(F8:F26)),0.5)</f>
        <v>0.5</v>
      </c>
      <c r="H21" s="69">
        <v>3.0</v>
      </c>
      <c r="I21" s="33">
        <f>IFERROR((H21-MIN(H8:H26))/(MAX(H8:H26)-MIN(H8:H26)),0.5)</f>
        <v>0.5</v>
      </c>
      <c r="J21" s="69">
        <v>3.0</v>
      </c>
      <c r="K21" s="33">
        <f>IFERROR((J21-MIN(J8:J26))/(MAX(J8:J26)-MIN(J8:J26)),0.5)</f>
        <v>0.5</v>
      </c>
    </row>
    <row r="22" ht="15.75" customHeight="1">
      <c r="A22" s="28" t="s">
        <v>54</v>
      </c>
      <c r="B22" s="69">
        <v>3.0</v>
      </c>
      <c r="C22" s="29">
        <f>IFERROR((B22-MIN(B8:B26))/(MAX(B8:B26)-MIN(B8:B26)),0.5)</f>
        <v>0.5</v>
      </c>
      <c r="D22" s="69">
        <v>3.0</v>
      </c>
      <c r="E22" s="29">
        <f>IFERROR((D22-MIN(D8:D26))/(MAX(D8:D26)-MIN(D8:D26)),0.5)</f>
        <v>0.5</v>
      </c>
      <c r="F22" s="69">
        <v>3.0</v>
      </c>
      <c r="G22" s="29">
        <f>IFERROR((F22-MIN(F8:F26))/(MAX(F8:F26)-MIN(F8:F26)),0.5)</f>
        <v>0.5</v>
      </c>
      <c r="H22" s="69">
        <v>3.0</v>
      </c>
      <c r="I22" s="29">
        <f>IFERROR((H22-MIN(H8:H26))/(MAX(H8:H26)-MIN(H8:H26)),0.5)</f>
        <v>0.5</v>
      </c>
      <c r="J22" s="69">
        <v>3.0</v>
      </c>
      <c r="K22" s="29">
        <f>IFERROR((J22-MIN(J8:J26))/(MAX(J8:J26)-MIN(J8:J26)),0.5)</f>
        <v>0.5</v>
      </c>
    </row>
    <row r="23" ht="15.75" customHeight="1">
      <c r="A23" s="20" t="s">
        <v>55</v>
      </c>
      <c r="B23" s="69">
        <v>3.0</v>
      </c>
      <c r="C23" s="33">
        <f>IFERROR((B23-MIN(B8:B26))/(MAX(B8:B26)-MIN(B8:B26)),0.5)</f>
        <v>0.5</v>
      </c>
      <c r="D23" s="69">
        <v>3.0</v>
      </c>
      <c r="E23" s="33">
        <f>IFERROR((D23-MIN(D8:D26))/(MAX(D8:D26)-MIN(D8:D26)),0.5)</f>
        <v>0.5</v>
      </c>
      <c r="F23" s="69">
        <v>3.0</v>
      </c>
      <c r="G23" s="33">
        <f>IFERROR((F23-MIN(F8:F26))/(MAX(F8:F26)-MIN(F8:F26)),0.5)</f>
        <v>0.5</v>
      </c>
      <c r="H23" s="69">
        <v>3.0</v>
      </c>
      <c r="I23" s="33">
        <f>IFERROR((H23-MIN(H8:H26))/(MAX(H8:H26)-MIN(H8:H26)),0.5)</f>
        <v>0.5</v>
      </c>
      <c r="J23" s="69">
        <v>3.0</v>
      </c>
      <c r="K23" s="33">
        <f>IFERROR((J23-MIN(J8:J26))/(MAX(J8:J26)-MIN(J8:J26)),0.5)</f>
        <v>0.5</v>
      </c>
    </row>
    <row r="24" ht="15.75" customHeight="1">
      <c r="A24" s="28" t="s">
        <v>57</v>
      </c>
      <c r="B24" s="69">
        <v>3.0</v>
      </c>
      <c r="C24" s="29">
        <f>IFERROR((B24-MIN(B8:B26))/(MAX(B8:B26)-MIN(B8:B26)),0.5)</f>
        <v>0.5</v>
      </c>
      <c r="D24" s="69">
        <v>3.0</v>
      </c>
      <c r="E24" s="29">
        <f>IFERROR((D24-MIN(D8:D26))/(MAX(D8:D26)-MIN(D8:D26)),0.5)</f>
        <v>0.5</v>
      </c>
      <c r="F24" s="69">
        <v>3.0</v>
      </c>
      <c r="G24" s="29">
        <f>IFERROR((F24-MIN(F8:F26))/(MAX(F8:F26)-MIN(F8:F26)),0.5)</f>
        <v>0.5</v>
      </c>
      <c r="H24" s="69">
        <v>3.0</v>
      </c>
      <c r="I24" s="29">
        <f>IFERROR((H24-MIN(H8:H26))/(MAX(H8:H26)-MIN(H8:H26)),0.5)</f>
        <v>0.5</v>
      </c>
      <c r="J24" s="69">
        <v>3.0</v>
      </c>
      <c r="K24" s="29">
        <f>IFERROR((J24-MIN(J8:J26))/(MAX(J8:J26)-MIN(J8:J26)),0.5)</f>
        <v>0.5</v>
      </c>
    </row>
    <row r="25" ht="15.75" customHeight="1">
      <c r="A25" s="20" t="s">
        <v>58</v>
      </c>
      <c r="B25" s="69">
        <v>3.0</v>
      </c>
      <c r="C25" s="33">
        <f>IFERROR((B25-MIN(B8:B26))/(MAX(B8:B26)-MIN(B8:B26)),0.5)</f>
        <v>0.5</v>
      </c>
      <c r="D25" s="69">
        <v>3.0</v>
      </c>
      <c r="E25" s="33">
        <f>IFERROR((D25-MIN(D8:D26))/(MAX(D8:D26)-MIN(D8:D26)),0.5)</f>
        <v>0.5</v>
      </c>
      <c r="F25" s="69">
        <v>3.0</v>
      </c>
      <c r="G25" s="33">
        <f>IFERROR((F25-MIN(F8:F26))/(MAX(F8:F26)-MIN(F8:F26)),0.5)</f>
        <v>0.5</v>
      </c>
      <c r="H25" s="69">
        <v>3.0</v>
      </c>
      <c r="I25" s="33">
        <f>IFERROR((H25-MIN(H8:H26))/(MAX(H8:H26)-MIN(H8:H26)),0.5)</f>
        <v>0.5</v>
      </c>
      <c r="J25" s="69">
        <v>3.0</v>
      </c>
      <c r="K25" s="33">
        <f>IFERROR((J25-MIN(J8:J26))/(MAX(J8:J26)-MIN(J8:J26)),0.5)</f>
        <v>0.5</v>
      </c>
    </row>
    <row r="26" ht="15.75" customHeight="1">
      <c r="A26" s="28" t="s">
        <v>59</v>
      </c>
      <c r="B26" s="69">
        <v>3.0</v>
      </c>
      <c r="C26" s="29">
        <f>IFERROR((B26-MIN(B8:B26))/(MAX(B8:B26)-MIN(B8:B26)),0.5)</f>
        <v>0.5</v>
      </c>
      <c r="D26" s="69">
        <v>3.0</v>
      </c>
      <c r="E26" s="29">
        <f>IFERROR((D26-MIN(D8:D26))/(MAX(D8:D26)-MIN(D8:D26)),0.5)</f>
        <v>0.5</v>
      </c>
      <c r="F26" s="69">
        <v>3.0</v>
      </c>
      <c r="G26" s="29">
        <f>IFERROR((F26-MIN(F8:F26))/(MAX(F8:F26)-MIN(F8:F26)),0.5)</f>
        <v>0.5</v>
      </c>
      <c r="H26" s="69">
        <v>3.0</v>
      </c>
      <c r="I26" s="29">
        <f>IFERROR((H26-MIN(H8:H26))/(MAX(H8:H26)-MIN(H8:H26)),0.5)</f>
        <v>0.5</v>
      </c>
      <c r="J26" s="69">
        <v>3.0</v>
      </c>
      <c r="K26" s="29">
        <f>IFERROR((J26-MIN(J8:J26))/(MAX(J8:J26)-MIN(J8:J26)),0.5)</f>
        <v>0.5</v>
      </c>
    </row>
    <row r="27" ht="15.75" customHeight="1"/>
    <row r="28" ht="15.75" customHeight="1">
      <c r="A28" s="70" t="s">
        <v>84</v>
      </c>
      <c r="B28" s="2"/>
      <c r="C28" s="2"/>
      <c r="D28" s="2"/>
      <c r="E28" s="2"/>
      <c r="F28" s="2"/>
      <c r="G28" s="2"/>
      <c r="H28" s="2"/>
      <c r="I28" s="2"/>
      <c r="J28" s="2"/>
      <c r="K28" s="3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2:K2"/>
    <mergeCell ref="A28:K28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2" width="34.0"/>
    <col customWidth="1" min="3" max="8" width="10.0"/>
    <col customWidth="1" min="9" max="9" width="11.0"/>
    <col customWidth="1" min="10" max="10" width="8.0"/>
    <col customWidth="1" min="11" max="11" width="14.0"/>
    <col customWidth="1" min="12" max="26" width="8.71"/>
  </cols>
  <sheetData>
    <row r="1" ht="27.75" customHeight="1">
      <c r="A1" s="71" t="s">
        <v>85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8.0" customHeight="1">
      <c r="A2" s="62" t="s">
        <v>86</v>
      </c>
      <c r="B2" s="2"/>
      <c r="C2" s="2"/>
      <c r="D2" s="2"/>
      <c r="E2" s="2"/>
      <c r="F2" s="2"/>
      <c r="G2" s="2"/>
      <c r="H2" s="2"/>
      <c r="I2" s="2"/>
      <c r="J2" s="2"/>
      <c r="K2" s="3"/>
    </row>
    <row r="5" ht="21.75" customHeight="1">
      <c r="A5" s="25" t="s">
        <v>87</v>
      </c>
      <c r="B5" s="25" t="s">
        <v>26</v>
      </c>
      <c r="C5" s="25" t="s">
        <v>88</v>
      </c>
      <c r="D5" s="25" t="s">
        <v>89</v>
      </c>
      <c r="E5" s="25" t="s">
        <v>90</v>
      </c>
      <c r="F5" s="25" t="s">
        <v>91</v>
      </c>
      <c r="G5" s="25" t="s">
        <v>92</v>
      </c>
      <c r="H5" s="25" t="s">
        <v>93</v>
      </c>
      <c r="I5" s="25" t="s">
        <v>94</v>
      </c>
      <c r="J5" s="25" t="s">
        <v>95</v>
      </c>
      <c r="K5" s="25" t="s">
        <v>96</v>
      </c>
    </row>
    <row r="6" ht="15.75" customHeight="1">
      <c r="A6" s="72">
        <f>RANK(I6,I6:I24,0)</f>
        <v>1</v>
      </c>
      <c r="B6" s="28" t="s">
        <v>22</v>
      </c>
      <c r="C6" s="29">
        <v>0.459</v>
      </c>
      <c r="D6" s="29">
        <f>'➕ Мои критерии'!C8*'➕ Мои критерии'!C5/100</f>
        <v>0.05</v>
      </c>
      <c r="E6" s="29">
        <f>'➕ Мои критерии'!E8*'➕ Мои критерии'!E5/100</f>
        <v>0.05</v>
      </c>
      <c r="F6" s="29">
        <f>'➕ Мои критерии'!G8*'➕ Мои критерии'!G5/100</f>
        <v>0.05</v>
      </c>
      <c r="G6" s="29">
        <f>'➕ Мои критерии'!I8*'➕ Мои критерии'!I5/100</f>
        <v>0.05</v>
      </c>
      <c r="H6" s="29">
        <f>'➕ Мои критерии'!K8*'➕ Мои критерии'!K5/100</f>
        <v>0.05</v>
      </c>
      <c r="I6" s="73">
        <f t="shared" ref="I6:I24" si="1">C6+D6+E6+F6+G6+H6</f>
        <v>0.709</v>
      </c>
      <c r="J6" s="74">
        <f>1-RANK(I6,I6:I24,0)</f>
        <v>0</v>
      </c>
      <c r="K6" s="74" t="str">
        <f t="shared" ref="K6:K24" si="2">IF(A6&lt;=6,"A — Высокий",IF(A6&lt;=13,"B — Средний","C — Умеренный"))</f>
        <v>A — Высокий</v>
      </c>
    </row>
    <row r="7" ht="15.75" customHeight="1">
      <c r="A7" s="75">
        <f>RANK(I7,I6:I24,0)</f>
        <v>2</v>
      </c>
      <c r="B7" s="20" t="s">
        <v>31</v>
      </c>
      <c r="C7" s="33">
        <v>0.4098</v>
      </c>
      <c r="D7" s="33">
        <f>'➕ Мои критерии'!C9*'➕ Мои критерии'!C5/100</f>
        <v>0.05</v>
      </c>
      <c r="E7" s="33">
        <f>'➕ Мои критерии'!E9*'➕ Мои критерии'!E5/100</f>
        <v>0.05</v>
      </c>
      <c r="F7" s="33">
        <f>'➕ Мои критерии'!G9*'➕ Мои критерии'!G5/100</f>
        <v>0.05</v>
      </c>
      <c r="G7" s="33">
        <f>'➕ Мои критерии'!I9*'➕ Мои критерии'!I5/100</f>
        <v>0.05</v>
      </c>
      <c r="H7" s="33">
        <f>'➕ Мои критерии'!K9*'➕ Мои критерии'!K5/100</f>
        <v>0.05</v>
      </c>
      <c r="I7" s="73">
        <f t="shared" si="1"/>
        <v>0.6598</v>
      </c>
      <c r="J7" s="76">
        <f>2-RANK(I7,I6:I24,0)</f>
        <v>0</v>
      </c>
      <c r="K7" s="76" t="str">
        <f t="shared" si="2"/>
        <v>A — Высокий</v>
      </c>
    </row>
    <row r="8" ht="15.75" customHeight="1">
      <c r="A8" s="72">
        <f>RANK(I8,I6:I24,0)</f>
        <v>3</v>
      </c>
      <c r="B8" s="28" t="s">
        <v>32</v>
      </c>
      <c r="C8" s="29">
        <v>0.3954</v>
      </c>
      <c r="D8" s="29">
        <f>'➕ Мои критерии'!C10*'➕ Мои критерии'!C5/100</f>
        <v>0.05</v>
      </c>
      <c r="E8" s="29">
        <f>'➕ Мои критерии'!E10*'➕ Мои критерии'!E5/100</f>
        <v>0.05</v>
      </c>
      <c r="F8" s="29">
        <f>'➕ Мои критерии'!G10*'➕ Мои критерии'!G5/100</f>
        <v>0.05</v>
      </c>
      <c r="G8" s="29">
        <f>'➕ Мои критерии'!I10*'➕ Мои критерии'!I5/100</f>
        <v>0.05</v>
      </c>
      <c r="H8" s="29">
        <f>'➕ Мои критерии'!K10*'➕ Мои критерии'!K5/100</f>
        <v>0.05</v>
      </c>
      <c r="I8" s="73">
        <f t="shared" si="1"/>
        <v>0.6454</v>
      </c>
      <c r="J8" s="74">
        <f>3-RANK(I8,I6:I24,0)</f>
        <v>0</v>
      </c>
      <c r="K8" s="74" t="str">
        <f t="shared" si="2"/>
        <v>A — Высокий</v>
      </c>
    </row>
    <row r="9" ht="15.75" customHeight="1">
      <c r="A9" s="75">
        <f>RANK(I9,I6:I24,0)</f>
        <v>4</v>
      </c>
      <c r="B9" s="20" t="s">
        <v>34</v>
      </c>
      <c r="C9" s="33">
        <v>0.3818</v>
      </c>
      <c r="D9" s="33">
        <f>'➕ Мои критерии'!C11*'➕ Мои критерии'!C5/100</f>
        <v>0.05</v>
      </c>
      <c r="E9" s="33">
        <f>'➕ Мои критерии'!E11*'➕ Мои критерии'!E5/100</f>
        <v>0.05</v>
      </c>
      <c r="F9" s="33">
        <f>'➕ Мои критерии'!G11*'➕ Мои критерии'!G5/100</f>
        <v>0.05</v>
      </c>
      <c r="G9" s="33">
        <f>'➕ Мои критерии'!I11*'➕ Мои критерии'!I5/100</f>
        <v>0.05</v>
      </c>
      <c r="H9" s="33">
        <f>'➕ Мои критерии'!K11*'➕ Мои критерии'!K5/100</f>
        <v>0.05</v>
      </c>
      <c r="I9" s="73">
        <f t="shared" si="1"/>
        <v>0.6318</v>
      </c>
      <c r="J9" s="76">
        <f>4-RANK(I9,I6:I24,0)</f>
        <v>0</v>
      </c>
      <c r="K9" s="76" t="str">
        <f t="shared" si="2"/>
        <v>A — Высокий</v>
      </c>
    </row>
    <row r="10" ht="15.75" customHeight="1">
      <c r="A10" s="72">
        <f>RANK(I10,I6:I24,0)</f>
        <v>5</v>
      </c>
      <c r="B10" s="28" t="s">
        <v>36</v>
      </c>
      <c r="C10" s="29">
        <v>0.367</v>
      </c>
      <c r="D10" s="29">
        <f>'➕ Мои критерии'!C12*'➕ Мои критерии'!C5/100</f>
        <v>0.05</v>
      </c>
      <c r="E10" s="29">
        <f>'➕ Мои критерии'!E12*'➕ Мои критерии'!E5/100</f>
        <v>0.05</v>
      </c>
      <c r="F10" s="29">
        <f>'➕ Мои критерии'!G12*'➕ Мои критерии'!G5/100</f>
        <v>0.05</v>
      </c>
      <c r="G10" s="29">
        <f>'➕ Мои критерии'!I12*'➕ Мои критерии'!I5/100</f>
        <v>0.05</v>
      </c>
      <c r="H10" s="29">
        <f>'➕ Мои критерии'!K12*'➕ Мои критерии'!K5/100</f>
        <v>0.05</v>
      </c>
      <c r="I10" s="73">
        <f t="shared" si="1"/>
        <v>0.617</v>
      </c>
      <c r="J10" s="74">
        <f>5-RANK(I10,I6:I24,0)</f>
        <v>0</v>
      </c>
      <c r="K10" s="74" t="str">
        <f t="shared" si="2"/>
        <v>A — Высокий</v>
      </c>
    </row>
    <row r="11" ht="15.75" customHeight="1">
      <c r="A11" s="75">
        <f>RANK(I11,I6:I24,0)</f>
        <v>6</v>
      </c>
      <c r="B11" s="20" t="s">
        <v>38</v>
      </c>
      <c r="C11" s="33">
        <v>0.3293</v>
      </c>
      <c r="D11" s="33">
        <f>'➕ Мои критерии'!C13*'➕ Мои критерии'!C5/100</f>
        <v>0.05</v>
      </c>
      <c r="E11" s="33">
        <f>'➕ Мои критерии'!E13*'➕ Мои критерии'!E5/100</f>
        <v>0.05</v>
      </c>
      <c r="F11" s="33">
        <f>'➕ Мои критерии'!G13*'➕ Мои критерии'!G5/100</f>
        <v>0.05</v>
      </c>
      <c r="G11" s="33">
        <f>'➕ Мои критерии'!I13*'➕ Мои критерии'!I5/100</f>
        <v>0.05</v>
      </c>
      <c r="H11" s="33">
        <f>'➕ Мои критерии'!K13*'➕ Мои критерии'!K5/100</f>
        <v>0.05</v>
      </c>
      <c r="I11" s="73">
        <f t="shared" si="1"/>
        <v>0.5793</v>
      </c>
      <c r="J11" s="76">
        <f>6-RANK(I11,I6:I24,0)</f>
        <v>0</v>
      </c>
      <c r="K11" s="76" t="str">
        <f t="shared" si="2"/>
        <v>A — Высокий</v>
      </c>
    </row>
    <row r="12" ht="15.75" customHeight="1">
      <c r="A12" s="72">
        <f>RANK(I12,I6:I24,0)</f>
        <v>7</v>
      </c>
      <c r="B12" s="28" t="s">
        <v>40</v>
      </c>
      <c r="C12" s="29">
        <v>0.3175</v>
      </c>
      <c r="D12" s="29">
        <f>'➕ Мои критерии'!C14*'➕ Мои критерии'!C5/100</f>
        <v>0.05</v>
      </c>
      <c r="E12" s="29">
        <f>'➕ Мои критерии'!E14*'➕ Мои критерии'!E5/100</f>
        <v>0.05</v>
      </c>
      <c r="F12" s="29">
        <f>'➕ Мои критерии'!G14*'➕ Мои критерии'!G5/100</f>
        <v>0.05</v>
      </c>
      <c r="G12" s="29">
        <f>'➕ Мои критерии'!I14*'➕ Мои критерии'!I5/100</f>
        <v>0.05</v>
      </c>
      <c r="H12" s="29">
        <f>'➕ Мои критерии'!K14*'➕ Мои критерии'!K5/100</f>
        <v>0.05</v>
      </c>
      <c r="I12" s="73">
        <f t="shared" si="1"/>
        <v>0.5675</v>
      </c>
      <c r="J12" s="74">
        <f>7-RANK(I12,I6:I24,0)</f>
        <v>0</v>
      </c>
      <c r="K12" s="74" t="str">
        <f t="shared" si="2"/>
        <v>B — Средний</v>
      </c>
    </row>
    <row r="13" ht="15.75" customHeight="1">
      <c r="A13" s="75">
        <f>RANK(I13,I6:I24,0)</f>
        <v>8</v>
      </c>
      <c r="B13" s="20" t="s">
        <v>41</v>
      </c>
      <c r="C13" s="33">
        <v>0.3027</v>
      </c>
      <c r="D13" s="33">
        <f>'➕ Мои критерии'!C15*'➕ Мои критерии'!C5/100</f>
        <v>0.05</v>
      </c>
      <c r="E13" s="33">
        <f>'➕ Мои критерии'!E15*'➕ Мои критерии'!E5/100</f>
        <v>0.05</v>
      </c>
      <c r="F13" s="33">
        <f>'➕ Мои критерии'!G15*'➕ Мои критерии'!G5/100</f>
        <v>0.05</v>
      </c>
      <c r="G13" s="33">
        <f>'➕ Мои критерии'!I15*'➕ Мои критерии'!I5/100</f>
        <v>0.05</v>
      </c>
      <c r="H13" s="33">
        <f>'➕ Мои критерии'!K15*'➕ Мои критерии'!K5/100</f>
        <v>0.05</v>
      </c>
      <c r="I13" s="73">
        <f t="shared" si="1"/>
        <v>0.5527</v>
      </c>
      <c r="J13" s="76">
        <f>8-RANK(I13,I6:I24,0)</f>
        <v>0</v>
      </c>
      <c r="K13" s="76" t="str">
        <f t="shared" si="2"/>
        <v>B — Средний</v>
      </c>
    </row>
    <row r="14" ht="15.75" customHeight="1">
      <c r="A14" s="72">
        <f>RANK(I14,I6:I24,0)</f>
        <v>9</v>
      </c>
      <c r="B14" s="28" t="s">
        <v>43</v>
      </c>
      <c r="C14" s="29">
        <v>0.2896</v>
      </c>
      <c r="D14" s="29">
        <f>'➕ Мои критерии'!C16*'➕ Мои критерии'!C5/100</f>
        <v>0.05</v>
      </c>
      <c r="E14" s="29">
        <f>'➕ Мои критерии'!E16*'➕ Мои критерии'!E5/100</f>
        <v>0.05</v>
      </c>
      <c r="F14" s="29">
        <f>'➕ Мои критерии'!G16*'➕ Мои критерии'!G5/100</f>
        <v>0.05</v>
      </c>
      <c r="G14" s="29">
        <f>'➕ Мои критерии'!I16*'➕ Мои критерии'!I5/100</f>
        <v>0.05</v>
      </c>
      <c r="H14" s="29">
        <f>'➕ Мои критерии'!K16*'➕ Мои критерии'!K5/100</f>
        <v>0.05</v>
      </c>
      <c r="I14" s="73">
        <f t="shared" si="1"/>
        <v>0.5396</v>
      </c>
      <c r="J14" s="74">
        <f>9-RANK(I14,I6:I24,0)</f>
        <v>0</v>
      </c>
      <c r="K14" s="74" t="str">
        <f t="shared" si="2"/>
        <v>B — Средний</v>
      </c>
    </row>
    <row r="15" ht="15.75" customHeight="1">
      <c r="A15" s="75">
        <f>RANK(I15,I6:I24,0)</f>
        <v>10</v>
      </c>
      <c r="B15" s="20" t="s">
        <v>44</v>
      </c>
      <c r="C15" s="33">
        <v>0.2836</v>
      </c>
      <c r="D15" s="33">
        <f>'➕ Мои критерии'!C17*'➕ Мои критерии'!C5/100</f>
        <v>0.05</v>
      </c>
      <c r="E15" s="33">
        <f>'➕ Мои критерии'!E17*'➕ Мои критерии'!E5/100</f>
        <v>0.05</v>
      </c>
      <c r="F15" s="33">
        <f>'➕ Мои критерии'!G17*'➕ Мои критерии'!G5/100</f>
        <v>0.05</v>
      </c>
      <c r="G15" s="33">
        <f>'➕ Мои критерии'!I17*'➕ Мои критерии'!I5/100</f>
        <v>0.05</v>
      </c>
      <c r="H15" s="33">
        <f>'➕ Мои критерии'!K17*'➕ Мои критерии'!K5/100</f>
        <v>0.05</v>
      </c>
      <c r="I15" s="73">
        <f t="shared" si="1"/>
        <v>0.5336</v>
      </c>
      <c r="J15" s="76">
        <f>10-RANK(I15,I6:I24,0)</f>
        <v>0</v>
      </c>
      <c r="K15" s="76" t="str">
        <f t="shared" si="2"/>
        <v>B — Средний</v>
      </c>
    </row>
    <row r="16" ht="15.75" customHeight="1">
      <c r="A16" s="72">
        <f>RANK(I16,I6:I24,0)</f>
        <v>12</v>
      </c>
      <c r="B16" s="28" t="s">
        <v>46</v>
      </c>
      <c r="C16" s="29">
        <v>0.27</v>
      </c>
      <c r="D16" s="29">
        <f>'➕ Мои критерии'!C18*'➕ Мои критерии'!C5/100</f>
        <v>0.05</v>
      </c>
      <c r="E16" s="29">
        <f>'➕ Мои критерии'!E18*'➕ Мои критерии'!E5/100</f>
        <v>0.05</v>
      </c>
      <c r="F16" s="29">
        <f>'➕ Мои критерии'!G18*'➕ Мои критерии'!G5/100</f>
        <v>0.05</v>
      </c>
      <c r="G16" s="29">
        <f>'➕ Мои критерии'!I18*'➕ Мои критерии'!I5/100</f>
        <v>0.05</v>
      </c>
      <c r="H16" s="29">
        <f>'➕ Мои критерии'!K18*'➕ Мои критерии'!K5/100</f>
        <v>0.05</v>
      </c>
      <c r="I16" s="73">
        <f t="shared" si="1"/>
        <v>0.52</v>
      </c>
      <c r="J16" s="74">
        <f>11-RANK(I16,I6:I24,0)</f>
        <v>-1</v>
      </c>
      <c r="K16" s="74" t="str">
        <f t="shared" si="2"/>
        <v>B — Средний</v>
      </c>
    </row>
    <row r="17" ht="15.75" customHeight="1">
      <c r="A17" s="75">
        <f>RANK(I17,I6:I24,0)</f>
        <v>11</v>
      </c>
      <c r="B17" s="20" t="s">
        <v>48</v>
      </c>
      <c r="C17" s="33">
        <v>0.2716</v>
      </c>
      <c r="D17" s="33">
        <f>'➕ Мои критерии'!C19*'➕ Мои критерии'!C5/100</f>
        <v>0.05</v>
      </c>
      <c r="E17" s="33">
        <f>'➕ Мои критерии'!E19*'➕ Мои критерии'!E5/100</f>
        <v>0.05</v>
      </c>
      <c r="F17" s="33">
        <f>'➕ Мои критерии'!G19*'➕ Мои критерии'!G5/100</f>
        <v>0.05</v>
      </c>
      <c r="G17" s="33">
        <f>'➕ Мои критерии'!I19*'➕ Мои критерии'!I5/100</f>
        <v>0.05</v>
      </c>
      <c r="H17" s="33">
        <f>'➕ Мои критерии'!K19*'➕ Мои критерии'!K5/100</f>
        <v>0.05</v>
      </c>
      <c r="I17" s="73">
        <f t="shared" si="1"/>
        <v>0.5216</v>
      </c>
      <c r="J17" s="76">
        <f>12-RANK(I17,I6:I24,0)</f>
        <v>1</v>
      </c>
      <c r="K17" s="76" t="str">
        <f t="shared" si="2"/>
        <v>B — Средний</v>
      </c>
    </row>
    <row r="18" ht="25.5" customHeight="1">
      <c r="A18" s="72">
        <f>RANK(I18,I6:I24,0)</f>
        <v>14</v>
      </c>
      <c r="B18" s="28" t="s">
        <v>50</v>
      </c>
      <c r="C18" s="29">
        <v>0.2509</v>
      </c>
      <c r="D18" s="29">
        <f>'➕ Мои критерии'!C20*'➕ Мои критерии'!C5/100</f>
        <v>0.05</v>
      </c>
      <c r="E18" s="29">
        <f>'➕ Мои критерии'!E20*'➕ Мои критерии'!E5/100</f>
        <v>0.05</v>
      </c>
      <c r="F18" s="29">
        <f>'➕ Мои критерии'!G20*'➕ Мои критерии'!G5/100</f>
        <v>0.05</v>
      </c>
      <c r="G18" s="29">
        <f>'➕ Мои критерии'!I20*'➕ Мои критерии'!I5/100</f>
        <v>0.05</v>
      </c>
      <c r="H18" s="29">
        <f>'➕ Мои критерии'!K20*'➕ Мои критерии'!K5/100</f>
        <v>0.05</v>
      </c>
      <c r="I18" s="73">
        <f t="shared" si="1"/>
        <v>0.5009</v>
      </c>
      <c r="J18" s="74">
        <f>13-RANK(I18,I6:I24,0)</f>
        <v>-1</v>
      </c>
      <c r="K18" s="74" t="str">
        <f t="shared" si="2"/>
        <v>C — Умеренный</v>
      </c>
    </row>
    <row r="19" ht="15.75" customHeight="1">
      <c r="A19" s="75">
        <f>RANK(I19,I6:I24,0)</f>
        <v>13</v>
      </c>
      <c r="B19" s="20" t="s">
        <v>52</v>
      </c>
      <c r="C19" s="33">
        <v>0.2512</v>
      </c>
      <c r="D19" s="33">
        <f>'➕ Мои критерии'!C21*'➕ Мои критерии'!C5/100</f>
        <v>0.05</v>
      </c>
      <c r="E19" s="33">
        <f>'➕ Мои критерии'!E21*'➕ Мои критерии'!E5/100</f>
        <v>0.05</v>
      </c>
      <c r="F19" s="33">
        <f>'➕ Мои критерии'!G21*'➕ Мои критерии'!G5/100</f>
        <v>0.05</v>
      </c>
      <c r="G19" s="33">
        <f>'➕ Мои критерии'!I21*'➕ Мои критерии'!I5/100</f>
        <v>0.05</v>
      </c>
      <c r="H19" s="33">
        <f>'➕ Мои критерии'!K21*'➕ Мои критерии'!K5/100</f>
        <v>0.05</v>
      </c>
      <c r="I19" s="73">
        <f t="shared" si="1"/>
        <v>0.5012</v>
      </c>
      <c r="J19" s="76">
        <f>14-RANK(I19,I6:I24,0)</f>
        <v>1</v>
      </c>
      <c r="K19" s="76" t="str">
        <f t="shared" si="2"/>
        <v>B — Средний</v>
      </c>
    </row>
    <row r="20" ht="23.25" customHeight="1">
      <c r="A20" s="72">
        <f>RANK(I20,I6:I24,0)</f>
        <v>15</v>
      </c>
      <c r="B20" s="28" t="s">
        <v>54</v>
      </c>
      <c r="C20" s="29">
        <v>0.2491</v>
      </c>
      <c r="D20" s="29">
        <f>'➕ Мои критерии'!C22*'➕ Мои критерии'!C5/100</f>
        <v>0.05</v>
      </c>
      <c r="E20" s="29">
        <f>'➕ Мои критерии'!E22*'➕ Мои критерии'!E5/100</f>
        <v>0.05</v>
      </c>
      <c r="F20" s="29">
        <f>'➕ Мои критерии'!G22*'➕ Мои критерии'!G5/100</f>
        <v>0.05</v>
      </c>
      <c r="G20" s="29">
        <f>'➕ Мои критерии'!I22*'➕ Мои критерии'!I5/100</f>
        <v>0.05</v>
      </c>
      <c r="H20" s="29">
        <f>'➕ Мои критерии'!K22*'➕ Мои критерии'!K5/100</f>
        <v>0.05</v>
      </c>
      <c r="I20" s="73">
        <f t="shared" si="1"/>
        <v>0.4991</v>
      </c>
      <c r="J20" s="74">
        <f>15-RANK(I20,I6:I24,0)</f>
        <v>0</v>
      </c>
      <c r="K20" s="74" t="str">
        <f t="shared" si="2"/>
        <v>C — Умеренный</v>
      </c>
    </row>
    <row r="21" ht="27.75" customHeight="1">
      <c r="A21" s="75">
        <f>RANK(I21,I6:I24,0)</f>
        <v>16</v>
      </c>
      <c r="B21" s="20" t="s">
        <v>55</v>
      </c>
      <c r="C21" s="33">
        <v>0.2155</v>
      </c>
      <c r="D21" s="33">
        <f>'➕ Мои критерии'!C23*'➕ Мои критерии'!C5/100</f>
        <v>0.05</v>
      </c>
      <c r="E21" s="33">
        <f>'➕ Мои критерии'!E23*'➕ Мои критерии'!E5/100</f>
        <v>0.05</v>
      </c>
      <c r="F21" s="33">
        <f>'➕ Мои критерии'!G23*'➕ Мои критерии'!G5/100</f>
        <v>0.05</v>
      </c>
      <c r="G21" s="33">
        <f>'➕ Мои критерии'!I23*'➕ Мои критерии'!I5/100</f>
        <v>0.05</v>
      </c>
      <c r="H21" s="33">
        <f>'➕ Мои критерии'!K23*'➕ Мои критерии'!K5/100</f>
        <v>0.05</v>
      </c>
      <c r="I21" s="73">
        <f t="shared" si="1"/>
        <v>0.4655</v>
      </c>
      <c r="J21" s="76">
        <f>16-RANK(I21,I6:I24,0)</f>
        <v>0</v>
      </c>
      <c r="K21" s="76" t="str">
        <f t="shared" si="2"/>
        <v>C — Умеренный</v>
      </c>
    </row>
    <row r="22" ht="27.75" customHeight="1">
      <c r="A22" s="72">
        <f>RANK(I22,I6:I24,0)</f>
        <v>17</v>
      </c>
      <c r="B22" s="28" t="s">
        <v>57</v>
      </c>
      <c r="C22" s="29">
        <v>0.2114</v>
      </c>
      <c r="D22" s="29">
        <f>'➕ Мои критерии'!C24*'➕ Мои критерии'!C5/100</f>
        <v>0.05</v>
      </c>
      <c r="E22" s="29">
        <f>'➕ Мои критерии'!E24*'➕ Мои критерии'!E5/100</f>
        <v>0.05</v>
      </c>
      <c r="F22" s="29">
        <f>'➕ Мои критерии'!G24*'➕ Мои критерии'!G5/100</f>
        <v>0.05</v>
      </c>
      <c r="G22" s="29">
        <f>'➕ Мои критерии'!I24*'➕ Мои критерии'!I5/100</f>
        <v>0.05</v>
      </c>
      <c r="H22" s="29">
        <f>'➕ Мои критерии'!K24*'➕ Мои критерии'!K5/100</f>
        <v>0.05</v>
      </c>
      <c r="I22" s="73">
        <f t="shared" si="1"/>
        <v>0.4614</v>
      </c>
      <c r="J22" s="74">
        <f>17-RANK(I22,I6:I24,0)</f>
        <v>0</v>
      </c>
      <c r="K22" s="74" t="str">
        <f t="shared" si="2"/>
        <v>C — Умеренный</v>
      </c>
    </row>
    <row r="23" ht="24.75" customHeight="1">
      <c r="A23" s="75">
        <f>RANK(I23,I6:I24,0)</f>
        <v>18</v>
      </c>
      <c r="B23" s="20" t="s">
        <v>58</v>
      </c>
      <c r="C23" s="33">
        <v>0.1923</v>
      </c>
      <c r="D23" s="33">
        <f>'➕ Мои критерии'!C25*'➕ Мои критерии'!C5/100</f>
        <v>0.05</v>
      </c>
      <c r="E23" s="33">
        <f>'➕ Мои критерии'!E25*'➕ Мои критерии'!E5/100</f>
        <v>0.05</v>
      </c>
      <c r="F23" s="33">
        <f>'➕ Мои критерии'!G25*'➕ Мои критерии'!G5/100</f>
        <v>0.05</v>
      </c>
      <c r="G23" s="33">
        <f>'➕ Мои критерии'!I25*'➕ Мои критерии'!I5/100</f>
        <v>0.05</v>
      </c>
      <c r="H23" s="33">
        <f>'➕ Мои критерии'!K25*'➕ Мои критерии'!K5/100</f>
        <v>0.05</v>
      </c>
      <c r="I23" s="73">
        <f t="shared" si="1"/>
        <v>0.4423</v>
      </c>
      <c r="J23" s="76">
        <f>18-RANK(I23,I6:I24,0)</f>
        <v>0</v>
      </c>
      <c r="K23" s="76" t="str">
        <f t="shared" si="2"/>
        <v>C — Умеренный</v>
      </c>
    </row>
    <row r="24" ht="33.0" customHeight="1">
      <c r="A24" s="72">
        <f>RANK(I24,I6:I24,0)</f>
        <v>19</v>
      </c>
      <c r="B24" s="28" t="s">
        <v>59</v>
      </c>
      <c r="C24" s="29">
        <v>0.1836</v>
      </c>
      <c r="D24" s="29">
        <f>'➕ Мои критерии'!C26*'➕ Мои критерии'!C5/100</f>
        <v>0.05</v>
      </c>
      <c r="E24" s="29">
        <f>'➕ Мои критерии'!E26*'➕ Мои критерии'!E5/100</f>
        <v>0.05</v>
      </c>
      <c r="F24" s="29">
        <f>'➕ Мои критерии'!G26*'➕ Мои критерии'!G5/100</f>
        <v>0.05</v>
      </c>
      <c r="G24" s="29">
        <f>'➕ Мои критерии'!I26*'➕ Мои критерии'!I5/100</f>
        <v>0.05</v>
      </c>
      <c r="H24" s="29">
        <f>'➕ Мои критерии'!K26*'➕ Мои критерии'!K5/100</f>
        <v>0.05</v>
      </c>
      <c r="I24" s="73">
        <f t="shared" si="1"/>
        <v>0.4336</v>
      </c>
      <c r="J24" s="74">
        <f>19-RANK(I24,I6:I24,0)</f>
        <v>0</v>
      </c>
      <c r="K24" s="74" t="str">
        <f t="shared" si="2"/>
        <v>C — Умеренный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conditionalFormatting sqref="I6:I24">
    <cfRule type="colorScale" priority="1">
      <colorScale>
        <cfvo type="min" val="0"/>
        <cfvo type="percentile" val="50"/>
        <cfvo type="max" val="0"/>
        <color rgb="FFC0D8F0"/>
        <color rgb="FF4A80C0"/>
        <color rgb="FF1B3A6B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5.0"/>
    <col customWidth="1" min="2" max="27" width="10.0"/>
  </cols>
  <sheetData>
    <row r="1">
      <c r="A1" s="25" t="s">
        <v>26</v>
      </c>
      <c r="B1" s="25" t="s">
        <v>97</v>
      </c>
      <c r="C1" s="25" t="s">
        <v>98</v>
      </c>
      <c r="D1" s="25" t="s">
        <v>99</v>
      </c>
      <c r="E1" s="25" t="s">
        <v>100</v>
      </c>
      <c r="F1" s="25" t="s">
        <v>101</v>
      </c>
      <c r="G1" s="25" t="s">
        <v>102</v>
      </c>
      <c r="H1" s="25" t="s">
        <v>103</v>
      </c>
      <c r="I1" s="25" t="s">
        <v>104</v>
      </c>
      <c r="J1" s="25" t="s">
        <v>105</v>
      </c>
      <c r="K1" s="25" t="s">
        <v>106</v>
      </c>
      <c r="L1" s="25" t="s">
        <v>107</v>
      </c>
      <c r="M1" s="25" t="s">
        <v>108</v>
      </c>
      <c r="N1" s="25" t="s">
        <v>109</v>
      </c>
      <c r="O1" s="25" t="s">
        <v>110</v>
      </c>
      <c r="P1" s="25" t="s">
        <v>111</v>
      </c>
      <c r="Q1" s="25" t="s">
        <v>112</v>
      </c>
      <c r="R1" s="25" t="s">
        <v>113</v>
      </c>
      <c r="S1" s="25" t="s">
        <v>114</v>
      </c>
      <c r="T1" s="25" t="s">
        <v>115</v>
      </c>
      <c r="U1" s="25" t="s">
        <v>116</v>
      </c>
      <c r="V1" s="25" t="s">
        <v>117</v>
      </c>
      <c r="W1" s="25" t="s">
        <v>118</v>
      </c>
      <c r="X1" s="25" t="s">
        <v>119</v>
      </c>
      <c r="Y1" s="25" t="s">
        <v>120</v>
      </c>
      <c r="Z1" s="25" t="s">
        <v>121</v>
      </c>
      <c r="AA1" s="25" t="s">
        <v>122</v>
      </c>
    </row>
    <row r="2" ht="15.0" customHeight="1">
      <c r="A2" s="28" t="s">
        <v>22</v>
      </c>
      <c r="B2" s="74">
        <v>0.4655</v>
      </c>
      <c r="C2" s="74">
        <v>0.4616</v>
      </c>
      <c r="D2" s="74">
        <v>0.459</v>
      </c>
      <c r="E2" s="74">
        <v>0.4524</v>
      </c>
      <c r="F2" s="74">
        <v>-0.00132</v>
      </c>
      <c r="G2" s="74">
        <v>0.3587</v>
      </c>
      <c r="H2" s="74">
        <v>0.588</v>
      </c>
      <c r="I2" s="74">
        <v>0.5158</v>
      </c>
      <c r="J2" s="74">
        <v>0.4509</v>
      </c>
      <c r="K2" s="74" t="s">
        <v>123</v>
      </c>
      <c r="L2" s="74" t="s">
        <v>124</v>
      </c>
      <c r="M2" s="74">
        <v>0.4416</v>
      </c>
      <c r="N2" s="74">
        <v>0.4379</v>
      </c>
      <c r="O2" s="74">
        <v>0.4354</v>
      </c>
      <c r="P2" s="74">
        <v>0.4291</v>
      </c>
      <c r="Q2" s="74">
        <v>-0.00125</v>
      </c>
      <c r="R2" s="74">
        <v>0.4887</v>
      </c>
      <c r="S2" s="74">
        <v>0.4892</v>
      </c>
      <c r="T2" s="74">
        <v>0.4895</v>
      </c>
      <c r="U2" s="74">
        <v>0.4903</v>
      </c>
      <c r="V2" s="74">
        <v>1.5E-4</v>
      </c>
      <c r="W2" s="74">
        <v>0.4747</v>
      </c>
      <c r="X2" s="74">
        <v>0.4733</v>
      </c>
      <c r="Y2" s="74">
        <v>0.4724</v>
      </c>
      <c r="Z2" s="74">
        <v>0.4701</v>
      </c>
      <c r="AA2" s="74">
        <v>-4.7E-4</v>
      </c>
    </row>
    <row r="3" ht="15.0" customHeight="1">
      <c r="A3" s="20" t="s">
        <v>31</v>
      </c>
      <c r="B3" s="76">
        <v>0.4182</v>
      </c>
      <c r="C3" s="76">
        <v>0.4132</v>
      </c>
      <c r="D3" s="76">
        <v>0.4098</v>
      </c>
      <c r="E3" s="76">
        <v>0.4014</v>
      </c>
      <c r="F3" s="76">
        <v>-0.00168</v>
      </c>
      <c r="G3" s="76">
        <v>0.2993</v>
      </c>
      <c r="H3" s="76">
        <v>0.5</v>
      </c>
      <c r="I3" s="76">
        <v>0.4295</v>
      </c>
      <c r="J3" s="76">
        <v>0.5642</v>
      </c>
      <c r="K3" s="76" t="s">
        <v>125</v>
      </c>
      <c r="L3" s="76" t="s">
        <v>124</v>
      </c>
      <c r="M3" s="76">
        <v>0.3884</v>
      </c>
      <c r="N3" s="76">
        <v>0.3838</v>
      </c>
      <c r="O3" s="76">
        <v>0.3806</v>
      </c>
      <c r="P3" s="76">
        <v>0.3728</v>
      </c>
      <c r="Q3" s="76">
        <v>-0.00156</v>
      </c>
      <c r="R3" s="76">
        <v>0.4275</v>
      </c>
      <c r="S3" s="76">
        <v>0.4257</v>
      </c>
      <c r="T3" s="76">
        <v>0.4245</v>
      </c>
      <c r="U3" s="76">
        <v>0.4215</v>
      </c>
      <c r="V3" s="76">
        <v>-6.0E-4</v>
      </c>
      <c r="W3" s="76">
        <v>0.4447</v>
      </c>
      <c r="X3" s="76">
        <v>0.4464</v>
      </c>
      <c r="Y3" s="76">
        <v>0.4476</v>
      </c>
      <c r="Z3" s="76">
        <v>0.4504</v>
      </c>
      <c r="AA3" s="76">
        <v>5.7E-4</v>
      </c>
    </row>
    <row r="4" ht="15.0" customHeight="1">
      <c r="A4" s="28" t="s">
        <v>32</v>
      </c>
      <c r="B4" s="74">
        <v>0.4075</v>
      </c>
      <c r="C4" s="74">
        <v>0.4002</v>
      </c>
      <c r="D4" s="74">
        <v>0.3954</v>
      </c>
      <c r="E4" s="74">
        <v>0.3833</v>
      </c>
      <c r="F4" s="74">
        <v>-0.00241</v>
      </c>
      <c r="G4" s="74">
        <v>0.204</v>
      </c>
      <c r="H4" s="74">
        <v>0.5258</v>
      </c>
      <c r="I4" s="74">
        <v>0.4988</v>
      </c>
      <c r="J4" s="74">
        <v>0.5417</v>
      </c>
      <c r="K4" s="74" t="s">
        <v>126</v>
      </c>
      <c r="L4" s="74" t="s">
        <v>124</v>
      </c>
      <c r="M4" s="74">
        <v>0.3597</v>
      </c>
      <c r="N4" s="74">
        <v>0.3534</v>
      </c>
      <c r="O4" s="74">
        <v>0.3491</v>
      </c>
      <c r="P4" s="74">
        <v>0.3384</v>
      </c>
      <c r="Q4" s="74">
        <v>-0.00213</v>
      </c>
      <c r="R4" s="74">
        <v>0.4482</v>
      </c>
      <c r="S4" s="74">
        <v>0.4482</v>
      </c>
      <c r="T4" s="74">
        <v>0.4482</v>
      </c>
      <c r="U4" s="74">
        <v>0.4481</v>
      </c>
      <c r="V4" s="74">
        <v>-1.0E-5</v>
      </c>
      <c r="W4" s="74">
        <v>0.4412</v>
      </c>
      <c r="X4" s="74">
        <v>0.4424</v>
      </c>
      <c r="Y4" s="74">
        <v>0.4431</v>
      </c>
      <c r="Z4" s="74">
        <v>0.4449</v>
      </c>
      <c r="AA4" s="74">
        <v>3.7E-4</v>
      </c>
    </row>
    <row r="5" ht="15.0" customHeight="1">
      <c r="A5" s="20" t="s">
        <v>34</v>
      </c>
      <c r="B5" s="76">
        <v>0.3937</v>
      </c>
      <c r="C5" s="76">
        <v>0.3866</v>
      </c>
      <c r="D5" s="76">
        <v>0.3818</v>
      </c>
      <c r="E5" s="76">
        <v>0.37</v>
      </c>
      <c r="F5" s="76">
        <v>-0.00237</v>
      </c>
      <c r="G5" s="76">
        <v>0.1987</v>
      </c>
      <c r="H5" s="76">
        <v>0.2848</v>
      </c>
      <c r="I5" s="76">
        <v>0.6138</v>
      </c>
      <c r="J5" s="76">
        <v>0.5537</v>
      </c>
      <c r="K5" s="76" t="s">
        <v>127</v>
      </c>
      <c r="L5" s="76" t="s">
        <v>124</v>
      </c>
      <c r="M5" s="76">
        <v>0.3509</v>
      </c>
      <c r="N5" s="76">
        <v>0.3446</v>
      </c>
      <c r="O5" s="76">
        <v>0.3403</v>
      </c>
      <c r="P5" s="76">
        <v>0.3298</v>
      </c>
      <c r="Q5" s="76">
        <v>-0.00211</v>
      </c>
      <c r="R5" s="76">
        <v>0.4754</v>
      </c>
      <c r="S5" s="76">
        <v>0.4787</v>
      </c>
      <c r="T5" s="76">
        <v>0.4808</v>
      </c>
      <c r="U5" s="76">
        <v>0.4862</v>
      </c>
      <c r="V5" s="76">
        <v>0.00108</v>
      </c>
      <c r="W5" s="76">
        <v>0.4292</v>
      </c>
      <c r="X5" s="76">
        <v>0.4306</v>
      </c>
      <c r="Y5" s="76">
        <v>0.4315</v>
      </c>
      <c r="Z5" s="76">
        <v>0.4338</v>
      </c>
      <c r="AA5" s="76">
        <v>4.6E-4</v>
      </c>
    </row>
    <row r="6" ht="15.0" customHeight="1">
      <c r="A6" s="28" t="s">
        <v>36</v>
      </c>
      <c r="B6" s="74">
        <v>0.3653</v>
      </c>
      <c r="C6" s="74">
        <v>0.3663</v>
      </c>
      <c r="D6" s="74">
        <v>0.367</v>
      </c>
      <c r="E6" s="74">
        <v>0.3686</v>
      </c>
      <c r="F6" s="74">
        <v>3.3E-4</v>
      </c>
      <c r="G6" s="74">
        <v>0.5454</v>
      </c>
      <c r="H6" s="74">
        <v>0.0876</v>
      </c>
      <c r="I6" s="74">
        <v>0.3419</v>
      </c>
      <c r="J6" s="74">
        <v>0.3622</v>
      </c>
      <c r="K6" s="74" t="s">
        <v>128</v>
      </c>
      <c r="L6" s="74" t="s">
        <v>124</v>
      </c>
      <c r="M6" s="74">
        <v>0.4076</v>
      </c>
      <c r="N6" s="74">
        <v>0.4087</v>
      </c>
      <c r="O6" s="74">
        <v>0.4094</v>
      </c>
      <c r="P6" s="74">
        <v>0.4113</v>
      </c>
      <c r="Q6" s="74">
        <v>3.7E-4</v>
      </c>
      <c r="R6" s="74">
        <v>0.3465</v>
      </c>
      <c r="S6" s="74">
        <v>0.3432</v>
      </c>
      <c r="T6" s="74">
        <v>0.341</v>
      </c>
      <c r="U6" s="74">
        <v>0.3355</v>
      </c>
      <c r="V6" s="74">
        <v>-0.0011</v>
      </c>
      <c r="W6" s="74">
        <v>0.347</v>
      </c>
      <c r="X6" s="74">
        <v>0.3441</v>
      </c>
      <c r="Y6" s="74">
        <v>0.3422</v>
      </c>
      <c r="Z6" s="74">
        <v>0.3374</v>
      </c>
      <c r="AA6" s="74">
        <v>-9.6E-4</v>
      </c>
    </row>
    <row r="7" ht="15.0" customHeight="1">
      <c r="A7" s="20" t="s">
        <v>38</v>
      </c>
      <c r="B7" s="76">
        <v>0.3407</v>
      </c>
      <c r="C7" s="76">
        <v>0.3339</v>
      </c>
      <c r="D7" s="76">
        <v>0.3293</v>
      </c>
      <c r="E7" s="76">
        <v>0.318</v>
      </c>
      <c r="F7" s="76">
        <v>-0.00227</v>
      </c>
      <c r="G7" s="76">
        <v>0.1674</v>
      </c>
      <c r="H7" s="76">
        <v>0.2767</v>
      </c>
      <c r="I7" s="76">
        <v>0.7356</v>
      </c>
      <c r="J7" s="76">
        <v>0.0405</v>
      </c>
      <c r="K7" s="76" t="s">
        <v>129</v>
      </c>
      <c r="L7" s="76" t="s">
        <v>124</v>
      </c>
      <c r="M7" s="76">
        <v>0.3131</v>
      </c>
      <c r="N7" s="76">
        <v>0.3069</v>
      </c>
      <c r="O7" s="76">
        <v>0.3027</v>
      </c>
      <c r="P7" s="76">
        <v>0.2923</v>
      </c>
      <c r="Q7" s="76">
        <v>-0.00208</v>
      </c>
      <c r="R7" s="76">
        <v>0.4836</v>
      </c>
      <c r="S7" s="76">
        <v>0.4904</v>
      </c>
      <c r="T7" s="76">
        <v>0.495</v>
      </c>
      <c r="U7" s="76">
        <v>0.5064</v>
      </c>
      <c r="V7" s="76">
        <v>0.00228</v>
      </c>
      <c r="W7" s="76">
        <v>0.328</v>
      </c>
      <c r="X7" s="76">
        <v>0.3189</v>
      </c>
      <c r="Y7" s="76">
        <v>0.3129</v>
      </c>
      <c r="Z7" s="76">
        <v>0.2978</v>
      </c>
      <c r="AA7" s="76">
        <v>-0.00301</v>
      </c>
    </row>
    <row r="8" ht="15.0" customHeight="1">
      <c r="A8" s="28" t="s">
        <v>40</v>
      </c>
      <c r="B8" s="74">
        <v>0.3179</v>
      </c>
      <c r="C8" s="74">
        <v>0.3177</v>
      </c>
      <c r="D8" s="74">
        <v>0.3175</v>
      </c>
      <c r="E8" s="74">
        <v>0.3171</v>
      </c>
      <c r="F8" s="74">
        <v>-8.0E-5</v>
      </c>
      <c r="G8" s="74">
        <v>0.4868</v>
      </c>
      <c r="H8" s="74">
        <v>0.0681</v>
      </c>
      <c r="I8" s="74">
        <v>0.3065</v>
      </c>
      <c r="J8" s="74">
        <v>0.2798</v>
      </c>
      <c r="K8" s="74" t="s">
        <v>130</v>
      </c>
      <c r="L8" s="74" t="s">
        <v>124</v>
      </c>
      <c r="M8" s="74">
        <v>0.3582</v>
      </c>
      <c r="N8" s="74">
        <v>0.3579</v>
      </c>
      <c r="O8" s="74">
        <v>0.3577</v>
      </c>
      <c r="P8" s="74">
        <v>0.3573</v>
      </c>
      <c r="Q8" s="74">
        <v>-9.0E-5</v>
      </c>
      <c r="R8" s="74">
        <v>0.3041</v>
      </c>
      <c r="S8" s="74">
        <v>0.3006</v>
      </c>
      <c r="T8" s="74">
        <v>0.2983</v>
      </c>
      <c r="U8" s="74">
        <v>0.2924</v>
      </c>
      <c r="V8" s="74">
        <v>-0.00118</v>
      </c>
      <c r="W8" s="74">
        <v>0.2972</v>
      </c>
      <c r="X8" s="74">
        <v>0.2933</v>
      </c>
      <c r="Y8" s="74">
        <v>0.2907</v>
      </c>
      <c r="Z8" s="74">
        <v>0.2841</v>
      </c>
      <c r="AA8" s="74">
        <v>-0.00131</v>
      </c>
    </row>
    <row r="9" ht="15.0" customHeight="1">
      <c r="A9" s="20" t="s">
        <v>41</v>
      </c>
      <c r="B9" s="76">
        <v>0.3036</v>
      </c>
      <c r="C9" s="76">
        <v>0.303</v>
      </c>
      <c r="D9" s="76">
        <v>0.3027</v>
      </c>
      <c r="E9" s="76">
        <v>0.3017</v>
      </c>
      <c r="F9" s="76">
        <v>-1.9E-4</v>
      </c>
      <c r="G9" s="76">
        <v>0.4684</v>
      </c>
      <c r="H9" s="76">
        <v>0.056</v>
      </c>
      <c r="I9" s="76">
        <v>0.2259</v>
      </c>
      <c r="J9" s="76">
        <v>0.4049</v>
      </c>
      <c r="K9" s="76" t="s">
        <v>131</v>
      </c>
      <c r="L9" s="76" t="s">
        <v>124</v>
      </c>
      <c r="M9" s="76">
        <v>0.3395</v>
      </c>
      <c r="N9" s="76">
        <v>0.3389</v>
      </c>
      <c r="O9" s="76">
        <v>0.3385</v>
      </c>
      <c r="P9" s="76">
        <v>0.3374</v>
      </c>
      <c r="Q9" s="76">
        <v>-2.1E-4</v>
      </c>
      <c r="R9" s="76">
        <v>0.2668</v>
      </c>
      <c r="S9" s="76">
        <v>0.2624</v>
      </c>
      <c r="T9" s="76">
        <v>0.2595</v>
      </c>
      <c r="U9" s="76">
        <v>0.2522</v>
      </c>
      <c r="V9" s="76">
        <v>-0.00146</v>
      </c>
      <c r="W9" s="76">
        <v>0.2973</v>
      </c>
      <c r="X9" s="76">
        <v>0.2956</v>
      </c>
      <c r="Y9" s="76">
        <v>0.2944</v>
      </c>
      <c r="Z9" s="76">
        <v>0.2916</v>
      </c>
      <c r="AA9" s="76">
        <v>-5.7E-4</v>
      </c>
    </row>
    <row r="10" ht="15.0" customHeight="1">
      <c r="A10" s="28" t="s">
        <v>43</v>
      </c>
      <c r="B10" s="74">
        <v>0.2953</v>
      </c>
      <c r="C10" s="74">
        <v>0.2919</v>
      </c>
      <c r="D10" s="74">
        <v>0.2896</v>
      </c>
      <c r="E10" s="74">
        <v>0.284</v>
      </c>
      <c r="F10" s="74">
        <v>-0.00114</v>
      </c>
      <c r="G10" s="74">
        <v>0.3075</v>
      </c>
      <c r="H10" s="74">
        <v>0.0163</v>
      </c>
      <c r="I10" s="74">
        <v>0.3902</v>
      </c>
      <c r="J10" s="74">
        <v>0.4492</v>
      </c>
      <c r="K10" s="74" t="s">
        <v>132</v>
      </c>
      <c r="L10" s="74" t="s">
        <v>124</v>
      </c>
      <c r="M10" s="74">
        <v>0.2987</v>
      </c>
      <c r="N10" s="74">
        <v>0.2952</v>
      </c>
      <c r="O10" s="74">
        <v>0.2929</v>
      </c>
      <c r="P10" s="74">
        <v>0.2872</v>
      </c>
      <c r="Q10" s="74">
        <v>-0.00115</v>
      </c>
      <c r="R10" s="74">
        <v>0.3235</v>
      </c>
      <c r="S10" s="74">
        <v>0.3213</v>
      </c>
      <c r="T10" s="74">
        <v>0.3199</v>
      </c>
      <c r="U10" s="74">
        <v>0.3164</v>
      </c>
      <c r="V10" s="74">
        <v>-7.1E-4</v>
      </c>
      <c r="W10" s="74">
        <v>0.3095</v>
      </c>
      <c r="X10" s="74">
        <v>0.3086</v>
      </c>
      <c r="Y10" s="74">
        <v>0.3079</v>
      </c>
      <c r="Z10" s="74">
        <v>0.3064</v>
      </c>
      <c r="AA10" s="74">
        <v>-3.1E-4</v>
      </c>
    </row>
    <row r="11" ht="15.0" customHeight="1">
      <c r="A11" s="20" t="s">
        <v>44</v>
      </c>
      <c r="B11" s="76">
        <v>0.2925</v>
      </c>
      <c r="C11" s="76">
        <v>0.2872</v>
      </c>
      <c r="D11" s="76">
        <v>0.2836</v>
      </c>
      <c r="E11" s="76">
        <v>0.2748</v>
      </c>
      <c r="F11" s="76">
        <v>-0.00177</v>
      </c>
      <c r="G11" s="76">
        <v>0.1977</v>
      </c>
      <c r="H11" s="76">
        <v>0.2391</v>
      </c>
      <c r="I11" s="76">
        <v>0.3674</v>
      </c>
      <c r="J11" s="76">
        <v>0.4348</v>
      </c>
      <c r="K11" s="76" t="s">
        <v>133</v>
      </c>
      <c r="L11" s="76" t="s">
        <v>124</v>
      </c>
      <c r="M11" s="76">
        <v>0.27</v>
      </c>
      <c r="N11" s="76">
        <v>0.2651</v>
      </c>
      <c r="O11" s="76">
        <v>0.2619</v>
      </c>
      <c r="P11" s="76">
        <v>0.2537</v>
      </c>
      <c r="Q11" s="76">
        <v>-0.00163</v>
      </c>
      <c r="R11" s="76">
        <v>0.321</v>
      </c>
      <c r="S11" s="76">
        <v>0.3184</v>
      </c>
      <c r="T11" s="76">
        <v>0.3167</v>
      </c>
      <c r="U11" s="76">
        <v>0.3125</v>
      </c>
      <c r="V11" s="76">
        <v>-8.5E-4</v>
      </c>
      <c r="W11" s="76">
        <v>0.3162</v>
      </c>
      <c r="X11" s="76">
        <v>0.3149</v>
      </c>
      <c r="Y11" s="76">
        <v>0.3141</v>
      </c>
      <c r="Z11" s="76">
        <v>0.312</v>
      </c>
      <c r="AA11" s="76">
        <v>-4.1E-4</v>
      </c>
    </row>
    <row r="12" ht="15.0" customHeight="1">
      <c r="A12" s="28" t="s">
        <v>46</v>
      </c>
      <c r="B12" s="74">
        <v>0.2797</v>
      </c>
      <c r="C12" s="74">
        <v>0.2739</v>
      </c>
      <c r="D12" s="74">
        <v>0.27</v>
      </c>
      <c r="E12" s="74">
        <v>0.2602</v>
      </c>
      <c r="F12" s="74">
        <v>-0.00195</v>
      </c>
      <c r="G12" s="74">
        <v>0.1511</v>
      </c>
      <c r="H12" s="74">
        <v>0.1624</v>
      </c>
      <c r="I12" s="74">
        <v>0.4893</v>
      </c>
      <c r="J12" s="74">
        <v>0.317</v>
      </c>
      <c r="K12" s="74" t="s">
        <v>134</v>
      </c>
      <c r="L12" s="74" t="s">
        <v>124</v>
      </c>
      <c r="M12" s="74">
        <v>0.2539</v>
      </c>
      <c r="N12" s="74">
        <v>0.2486</v>
      </c>
      <c r="O12" s="74">
        <v>0.2451</v>
      </c>
      <c r="P12" s="74">
        <v>0.2362</v>
      </c>
      <c r="Q12" s="74">
        <v>-0.00177</v>
      </c>
      <c r="R12" s="74">
        <v>0.3554</v>
      </c>
      <c r="S12" s="74">
        <v>0.3552</v>
      </c>
      <c r="T12" s="74">
        <v>0.355</v>
      </c>
      <c r="U12" s="74">
        <v>0.3546</v>
      </c>
      <c r="V12" s="74">
        <v>-8.0E-5</v>
      </c>
      <c r="W12" s="74">
        <v>0.2963</v>
      </c>
      <c r="X12" s="74">
        <v>0.293</v>
      </c>
      <c r="Y12" s="74">
        <v>0.2909</v>
      </c>
      <c r="Z12" s="74">
        <v>0.2855</v>
      </c>
      <c r="AA12" s="74">
        <v>-0.00108</v>
      </c>
    </row>
    <row r="13" ht="15.0" customHeight="1">
      <c r="A13" s="20" t="s">
        <v>48</v>
      </c>
      <c r="B13" s="76">
        <v>0.2783</v>
      </c>
      <c r="C13" s="76">
        <v>0.2743</v>
      </c>
      <c r="D13" s="76">
        <v>0.2716</v>
      </c>
      <c r="E13" s="76">
        <v>0.2649</v>
      </c>
      <c r="F13" s="76">
        <v>-0.00134</v>
      </c>
      <c r="G13" s="76">
        <v>0.259</v>
      </c>
      <c r="H13" s="76">
        <v>0.0357</v>
      </c>
      <c r="I13" s="76">
        <v>0.4252</v>
      </c>
      <c r="J13" s="76">
        <v>0.3532</v>
      </c>
      <c r="K13" s="76" t="s">
        <v>135</v>
      </c>
      <c r="L13" s="76" t="s">
        <v>124</v>
      </c>
      <c r="M13" s="76">
        <v>0.2765</v>
      </c>
      <c r="N13" s="76">
        <v>0.2725</v>
      </c>
      <c r="O13" s="76">
        <v>0.2698</v>
      </c>
      <c r="P13" s="76">
        <v>0.2631</v>
      </c>
      <c r="Q13" s="76">
        <v>-0.00133</v>
      </c>
      <c r="R13" s="76">
        <v>0.3263</v>
      </c>
      <c r="S13" s="76">
        <v>0.3249</v>
      </c>
      <c r="T13" s="76">
        <v>0.3239</v>
      </c>
      <c r="U13" s="76">
        <v>0.3214</v>
      </c>
      <c r="V13" s="76">
        <v>-4.9E-4</v>
      </c>
      <c r="W13" s="76">
        <v>0.2878</v>
      </c>
      <c r="X13" s="76">
        <v>0.2852</v>
      </c>
      <c r="Y13" s="76">
        <v>0.2835</v>
      </c>
      <c r="Z13" s="76">
        <v>0.2793</v>
      </c>
      <c r="AA13" s="76">
        <v>-8.4E-4</v>
      </c>
    </row>
    <row r="14" ht="15.0" customHeight="1">
      <c r="A14" s="28" t="s">
        <v>50</v>
      </c>
      <c r="B14" s="74">
        <v>0.2598</v>
      </c>
      <c r="C14" s="74">
        <v>0.2545</v>
      </c>
      <c r="D14" s="74">
        <v>0.2509</v>
      </c>
      <c r="E14" s="74">
        <v>0.242</v>
      </c>
      <c r="F14" s="74">
        <v>-0.00178</v>
      </c>
      <c r="G14" s="74">
        <v>0.158</v>
      </c>
      <c r="H14" s="74">
        <v>0.1209</v>
      </c>
      <c r="I14" s="74">
        <v>0.2817</v>
      </c>
      <c r="J14" s="74">
        <v>0.6387</v>
      </c>
      <c r="K14" s="74" t="s">
        <v>136</v>
      </c>
      <c r="L14" s="74" t="s">
        <v>124</v>
      </c>
      <c r="M14" s="74">
        <v>0.2314</v>
      </c>
      <c r="N14" s="74">
        <v>0.2267</v>
      </c>
      <c r="O14" s="74">
        <v>0.2235</v>
      </c>
      <c r="P14" s="74">
        <v>0.2156</v>
      </c>
      <c r="Q14" s="74">
        <v>-0.00158</v>
      </c>
      <c r="R14" s="74">
        <v>0.2685</v>
      </c>
      <c r="S14" s="74">
        <v>0.265</v>
      </c>
      <c r="T14" s="74">
        <v>0.2627</v>
      </c>
      <c r="U14" s="74">
        <v>0.2568</v>
      </c>
      <c r="V14" s="74">
        <v>-0.00117</v>
      </c>
      <c r="W14" s="74">
        <v>0.3079</v>
      </c>
      <c r="X14" s="74">
        <v>0.3104</v>
      </c>
      <c r="Y14" s="74">
        <v>0.3121</v>
      </c>
      <c r="Z14" s="74">
        <v>0.3164</v>
      </c>
      <c r="AA14" s="74">
        <v>8.5E-4</v>
      </c>
    </row>
    <row r="15" ht="15.0" customHeight="1">
      <c r="A15" s="20" t="s">
        <v>52</v>
      </c>
      <c r="B15" s="76">
        <v>0.2561</v>
      </c>
      <c r="C15" s="76">
        <v>0.2531</v>
      </c>
      <c r="D15" s="76">
        <v>0.2512</v>
      </c>
      <c r="E15" s="76">
        <v>0.2462</v>
      </c>
      <c r="F15" s="76">
        <v>-9.9E-4</v>
      </c>
      <c r="G15" s="76">
        <v>0.3071</v>
      </c>
      <c r="H15" s="76">
        <v>0.1086</v>
      </c>
      <c r="I15" s="76">
        <v>0.2732</v>
      </c>
      <c r="J15" s="76">
        <v>0.2997</v>
      </c>
      <c r="K15" s="76" t="s">
        <v>137</v>
      </c>
      <c r="L15" s="76" t="s">
        <v>124</v>
      </c>
      <c r="M15" s="76">
        <v>0.2681</v>
      </c>
      <c r="N15" s="76">
        <v>0.265</v>
      </c>
      <c r="O15" s="76">
        <v>0.2629</v>
      </c>
      <c r="P15" s="76">
        <v>0.2577</v>
      </c>
      <c r="Q15" s="76">
        <v>-0.00103</v>
      </c>
      <c r="R15" s="76">
        <v>0.2579</v>
      </c>
      <c r="S15" s="76">
        <v>0.2544</v>
      </c>
      <c r="T15" s="76">
        <v>0.2521</v>
      </c>
      <c r="U15" s="76">
        <v>0.2462</v>
      </c>
      <c r="V15" s="76">
        <v>-0.00117</v>
      </c>
      <c r="W15" s="76">
        <v>0.2554</v>
      </c>
      <c r="X15" s="76">
        <v>0.2523</v>
      </c>
      <c r="Y15" s="76">
        <v>0.2502</v>
      </c>
      <c r="Z15" s="76">
        <v>0.2451</v>
      </c>
      <c r="AA15" s="76">
        <v>-0.00102</v>
      </c>
    </row>
    <row r="16" ht="15.0" customHeight="1">
      <c r="A16" s="28" t="s">
        <v>54</v>
      </c>
      <c r="B16" s="74">
        <v>0.2544</v>
      </c>
      <c r="C16" s="74">
        <v>0.2513</v>
      </c>
      <c r="D16" s="74">
        <v>0.2491</v>
      </c>
      <c r="E16" s="74">
        <v>0.2439</v>
      </c>
      <c r="F16" s="74">
        <v>-0.00105</v>
      </c>
      <c r="G16" s="74">
        <v>0.2929</v>
      </c>
      <c r="H16" s="74">
        <v>0.0853</v>
      </c>
      <c r="I16" s="74">
        <v>0.2673</v>
      </c>
      <c r="J16" s="74">
        <v>0.3644</v>
      </c>
      <c r="K16" s="74" t="s">
        <v>138</v>
      </c>
      <c r="L16" s="74" t="s">
        <v>124</v>
      </c>
      <c r="M16" s="74">
        <v>0.2625</v>
      </c>
      <c r="N16" s="74">
        <v>0.2592</v>
      </c>
      <c r="O16" s="74">
        <v>0.2571</v>
      </c>
      <c r="P16" s="74">
        <v>0.2516</v>
      </c>
      <c r="Q16" s="74">
        <v>-0.00109</v>
      </c>
      <c r="R16" s="74">
        <v>0.2548</v>
      </c>
      <c r="S16" s="74">
        <v>0.2512</v>
      </c>
      <c r="T16" s="74">
        <v>0.2489</v>
      </c>
      <c r="U16" s="74">
        <v>0.2429</v>
      </c>
      <c r="V16" s="74">
        <v>-0.00119</v>
      </c>
      <c r="W16" s="74">
        <v>0.2616</v>
      </c>
      <c r="X16" s="74">
        <v>0.2594</v>
      </c>
      <c r="Y16" s="74">
        <v>0.258</v>
      </c>
      <c r="Z16" s="74">
        <v>0.2545</v>
      </c>
      <c r="AA16" s="74">
        <v>-7.1E-4</v>
      </c>
    </row>
    <row r="17" ht="15.0" customHeight="1">
      <c r="A17" s="20" t="s">
        <v>55</v>
      </c>
      <c r="B17" s="76">
        <v>0.2209</v>
      </c>
      <c r="C17" s="76">
        <v>0.2177</v>
      </c>
      <c r="D17" s="76">
        <v>0.2155</v>
      </c>
      <c r="E17" s="76">
        <v>0.2102</v>
      </c>
      <c r="F17" s="76">
        <v>-0.00107</v>
      </c>
      <c r="G17" s="76">
        <v>0.258</v>
      </c>
      <c r="H17" s="76">
        <v>0.0158</v>
      </c>
      <c r="I17" s="76">
        <v>0.2549</v>
      </c>
      <c r="J17" s="76">
        <v>0.3396</v>
      </c>
      <c r="K17" s="76" t="s">
        <v>139</v>
      </c>
      <c r="L17" s="76" t="s">
        <v>124</v>
      </c>
      <c r="M17" s="76">
        <v>0.229</v>
      </c>
      <c r="N17" s="76">
        <v>0.2257</v>
      </c>
      <c r="O17" s="76">
        <v>0.2235</v>
      </c>
      <c r="P17" s="76">
        <v>0.218</v>
      </c>
      <c r="Q17" s="76">
        <v>-0.00111</v>
      </c>
      <c r="R17" s="76">
        <v>0.2281</v>
      </c>
      <c r="S17" s="76">
        <v>0.2248</v>
      </c>
      <c r="T17" s="76">
        <v>0.2225</v>
      </c>
      <c r="U17" s="76">
        <v>0.217</v>
      </c>
      <c r="V17" s="76">
        <v>-0.00112</v>
      </c>
      <c r="W17" s="76">
        <v>0.229</v>
      </c>
      <c r="X17" s="76">
        <v>0.2268</v>
      </c>
      <c r="Y17" s="76">
        <v>0.2253</v>
      </c>
      <c r="Z17" s="76">
        <v>0.2217</v>
      </c>
      <c r="AA17" s="76">
        <v>-7.3E-4</v>
      </c>
    </row>
    <row r="18" ht="15.0" customHeight="1">
      <c r="A18" s="28" t="s">
        <v>57</v>
      </c>
      <c r="B18" s="74">
        <v>0.2187</v>
      </c>
      <c r="C18" s="74">
        <v>0.2143</v>
      </c>
      <c r="D18" s="74">
        <v>0.2114</v>
      </c>
      <c r="E18" s="74">
        <v>0.2041</v>
      </c>
      <c r="F18" s="74">
        <v>-0.00145</v>
      </c>
      <c r="G18" s="74">
        <v>0.168</v>
      </c>
      <c r="H18" s="74">
        <v>0.1112</v>
      </c>
      <c r="I18" s="74">
        <v>0.263</v>
      </c>
      <c r="J18" s="74">
        <v>0.3916</v>
      </c>
      <c r="K18" s="74" t="s">
        <v>140</v>
      </c>
      <c r="L18" s="74" t="s">
        <v>124</v>
      </c>
      <c r="M18" s="74">
        <v>0.2056</v>
      </c>
      <c r="N18" s="74">
        <v>0.2015</v>
      </c>
      <c r="O18" s="74">
        <v>0.1988</v>
      </c>
      <c r="P18" s="74">
        <v>0.1919</v>
      </c>
      <c r="Q18" s="74">
        <v>-0.00137</v>
      </c>
      <c r="R18" s="74">
        <v>0.2341</v>
      </c>
      <c r="S18" s="74">
        <v>0.2307</v>
      </c>
      <c r="T18" s="74">
        <v>0.2285</v>
      </c>
      <c r="U18" s="74">
        <v>0.223</v>
      </c>
      <c r="V18" s="74">
        <v>-0.00111</v>
      </c>
      <c r="W18" s="74">
        <v>0.241</v>
      </c>
      <c r="X18" s="74">
        <v>0.2395</v>
      </c>
      <c r="Y18" s="74">
        <v>0.2384</v>
      </c>
      <c r="Z18" s="74">
        <v>0.2358</v>
      </c>
      <c r="AA18" s="74">
        <v>-5.2E-4</v>
      </c>
    </row>
    <row r="19" ht="15.0" customHeight="1">
      <c r="A19" s="20" t="s">
        <v>58</v>
      </c>
      <c r="B19" s="76">
        <v>0.2013</v>
      </c>
      <c r="C19" s="76">
        <v>0.1959</v>
      </c>
      <c r="D19" s="76">
        <v>0.1923</v>
      </c>
      <c r="E19" s="76">
        <v>0.1833</v>
      </c>
      <c r="F19" s="76">
        <v>-0.00179</v>
      </c>
      <c r="G19" s="76">
        <v>0.0549</v>
      </c>
      <c r="H19" s="76">
        <v>0.4122</v>
      </c>
      <c r="I19" s="76">
        <v>0.089</v>
      </c>
      <c r="J19" s="76">
        <v>0.4861</v>
      </c>
      <c r="K19" s="76" t="s">
        <v>141</v>
      </c>
      <c r="L19" s="76" t="s">
        <v>124</v>
      </c>
      <c r="M19" s="76">
        <v>0.1601</v>
      </c>
      <c r="N19" s="76">
        <v>0.1558</v>
      </c>
      <c r="O19" s="76">
        <v>0.153</v>
      </c>
      <c r="P19" s="76">
        <v>0.1459</v>
      </c>
      <c r="Q19" s="76">
        <v>-0.00143</v>
      </c>
      <c r="R19" s="76">
        <v>0.1704</v>
      </c>
      <c r="S19" s="76">
        <v>0.1662</v>
      </c>
      <c r="T19" s="76">
        <v>0.1634</v>
      </c>
      <c r="U19" s="76">
        <v>0.1564</v>
      </c>
      <c r="V19" s="76">
        <v>-0.0014</v>
      </c>
      <c r="W19" s="76">
        <v>0.2444</v>
      </c>
      <c r="X19" s="76">
        <v>0.2442</v>
      </c>
      <c r="Y19" s="76">
        <v>0.244</v>
      </c>
      <c r="Z19" s="76">
        <v>0.2437</v>
      </c>
      <c r="AA19" s="76">
        <v>-7.0E-5</v>
      </c>
    </row>
    <row r="20" ht="15.0" customHeight="1">
      <c r="A20" s="28" t="s">
        <v>59</v>
      </c>
      <c r="B20" s="74">
        <v>0.1896</v>
      </c>
      <c r="C20" s="74">
        <v>0.186</v>
      </c>
      <c r="D20" s="74">
        <v>0.1836</v>
      </c>
      <c r="E20" s="74">
        <v>0.1776</v>
      </c>
      <c r="F20" s="74">
        <v>-0.0012</v>
      </c>
      <c r="G20" s="74">
        <v>0.1837</v>
      </c>
      <c r="H20" s="74">
        <v>0.1049</v>
      </c>
      <c r="I20" s="74">
        <v>0.2911</v>
      </c>
      <c r="J20" s="74">
        <v>0.1136</v>
      </c>
      <c r="K20" s="74" t="s">
        <v>142</v>
      </c>
      <c r="L20" s="74" t="s">
        <v>124</v>
      </c>
      <c r="M20" s="74">
        <v>0.1917</v>
      </c>
      <c r="N20" s="74">
        <v>0.1881</v>
      </c>
      <c r="O20" s="74">
        <v>0.1856</v>
      </c>
      <c r="P20" s="74">
        <v>0.1796</v>
      </c>
      <c r="Q20" s="74">
        <v>-0.00121</v>
      </c>
      <c r="R20" s="74">
        <v>0.2239</v>
      </c>
      <c r="S20" s="74">
        <v>0.2211</v>
      </c>
      <c r="T20" s="74">
        <v>0.2192</v>
      </c>
      <c r="U20" s="74">
        <v>0.2146</v>
      </c>
      <c r="V20" s="74">
        <v>-9.4E-4</v>
      </c>
      <c r="W20" s="74">
        <v>0.1826</v>
      </c>
      <c r="X20" s="74">
        <v>0.1784</v>
      </c>
      <c r="Y20" s="74">
        <v>0.1756</v>
      </c>
      <c r="Z20" s="74">
        <v>0.1685</v>
      </c>
      <c r="AA20" s="74">
        <v>-0.00141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>
      <c r="A1" s="77" t="s">
        <v>22</v>
      </c>
    </row>
    <row r="2">
      <c r="A2" s="77" t="s">
        <v>31</v>
      </c>
    </row>
    <row r="3">
      <c r="A3" s="77" t="s">
        <v>32</v>
      </c>
    </row>
    <row r="4">
      <c r="A4" s="77" t="s">
        <v>34</v>
      </c>
    </row>
    <row r="5">
      <c r="A5" s="77" t="s">
        <v>36</v>
      </c>
    </row>
    <row r="6">
      <c r="A6" s="77" t="s">
        <v>38</v>
      </c>
    </row>
    <row r="7">
      <c r="A7" s="77" t="s">
        <v>40</v>
      </c>
    </row>
    <row r="8">
      <c r="A8" s="77" t="s">
        <v>41</v>
      </c>
    </row>
    <row r="9">
      <c r="A9" s="77" t="s">
        <v>43</v>
      </c>
    </row>
    <row r="10">
      <c r="A10" s="77" t="s">
        <v>44</v>
      </c>
    </row>
    <row r="11">
      <c r="A11" s="77" t="s">
        <v>46</v>
      </c>
    </row>
    <row r="12">
      <c r="A12" s="77" t="s">
        <v>48</v>
      </c>
    </row>
    <row r="13">
      <c r="A13" s="77" t="s">
        <v>50</v>
      </c>
    </row>
    <row r="14">
      <c r="A14" s="77" t="s">
        <v>52</v>
      </c>
    </row>
    <row r="15">
      <c r="A15" s="77" t="s">
        <v>54</v>
      </c>
    </row>
    <row r="16">
      <c r="A16" s="77" t="s">
        <v>55</v>
      </c>
    </row>
    <row r="17">
      <c r="A17" s="77" t="s">
        <v>57</v>
      </c>
    </row>
    <row r="18">
      <c r="A18" s="77" t="s">
        <v>58</v>
      </c>
    </row>
    <row r="19">
      <c r="A19" s="77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5.0"/>
    <col customWidth="1" min="2" max="2" width="30.0"/>
    <col customWidth="1" min="3" max="4" width="7.0"/>
    <col customWidth="1" min="5" max="6" width="9.0"/>
    <col customWidth="1" min="7" max="7" width="12.0"/>
    <col customWidth="1" min="8" max="8" width="11.0"/>
    <col customWidth="1" min="9" max="9" width="14.0"/>
    <col customWidth="1" min="10" max="10" width="10.0"/>
    <col customWidth="1" min="11" max="11" width="9.0"/>
    <col customWidth="1" min="12" max="13" width="10.0"/>
    <col customWidth="1" min="14" max="14" width="50.0"/>
    <col customWidth="1" min="15" max="26" width="8.71"/>
  </cols>
  <sheetData>
    <row r="1" ht="27.75" customHeight="1">
      <c r="A1" s="14" t="s">
        <v>143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21.75" customHeight="1">
      <c r="A2" s="78" t="s">
        <v>144</v>
      </c>
      <c r="B2" s="2"/>
      <c r="C2" s="2"/>
      <c r="D2" s="3"/>
      <c r="E2" s="79" t="s">
        <v>145</v>
      </c>
      <c r="F2" s="2"/>
      <c r="G2" s="2"/>
      <c r="H2" s="3"/>
      <c r="I2" s="80" t="s">
        <v>146</v>
      </c>
      <c r="J2" s="3"/>
      <c r="K2" s="81" t="s">
        <v>147</v>
      </c>
      <c r="L2" s="3"/>
      <c r="M2" s="56" t="s">
        <v>148</v>
      </c>
      <c r="N2" s="3"/>
    </row>
    <row r="3" ht="25.5" customHeight="1">
      <c r="A3" s="82" t="s">
        <v>149</v>
      </c>
      <c r="B3" s="82" t="s">
        <v>26</v>
      </c>
      <c r="C3" s="82" t="s">
        <v>150</v>
      </c>
      <c r="D3" s="82" t="s">
        <v>151</v>
      </c>
      <c r="E3" s="82" t="s">
        <v>152</v>
      </c>
      <c r="F3" s="82" t="s">
        <v>153</v>
      </c>
      <c r="G3" s="82" t="s">
        <v>154</v>
      </c>
      <c r="H3" s="82" t="s">
        <v>155</v>
      </c>
      <c r="I3" s="82" t="s">
        <v>156</v>
      </c>
      <c r="J3" s="82" t="s">
        <v>157</v>
      </c>
      <c r="K3" s="82" t="s">
        <v>158</v>
      </c>
      <c r="L3" s="82" t="s">
        <v>159</v>
      </c>
      <c r="M3" s="82" t="s">
        <v>160</v>
      </c>
      <c r="N3" s="82" t="s">
        <v>161</v>
      </c>
    </row>
    <row r="4" ht="12.75" customHeight="1">
      <c r="A4" s="83">
        <v>1.0</v>
      </c>
      <c r="B4" s="83" t="s">
        <v>31</v>
      </c>
      <c r="C4" s="83">
        <v>1.0</v>
      </c>
      <c r="D4" s="83">
        <v>2015.0</v>
      </c>
      <c r="E4" s="74">
        <v>27.0</v>
      </c>
      <c r="F4" s="74">
        <v>101.4</v>
      </c>
      <c r="G4" s="74">
        <v>1080.0</v>
      </c>
      <c r="H4" s="74">
        <v>940.0</v>
      </c>
      <c r="I4" s="74">
        <v>69500.0</v>
      </c>
      <c r="J4" s="74">
        <v>100.4</v>
      </c>
      <c r="K4" s="74">
        <v>24.4</v>
      </c>
      <c r="L4" s="74">
        <v>41.5</v>
      </c>
      <c r="M4" s="84" t="s">
        <v>162</v>
      </c>
      <c r="N4" s="28" t="s">
        <v>163</v>
      </c>
    </row>
    <row r="5" ht="12.75" customHeight="1">
      <c r="A5" s="83">
        <v>1.0</v>
      </c>
      <c r="B5" s="83" t="s">
        <v>31</v>
      </c>
      <c r="C5" s="83">
        <v>1.0</v>
      </c>
      <c r="D5" s="83">
        <v>2016.0</v>
      </c>
      <c r="E5" s="76">
        <v>22.6</v>
      </c>
      <c r="F5" s="76">
        <v>102.5</v>
      </c>
      <c r="G5" s="76">
        <v>1210.0</v>
      </c>
      <c r="H5" s="76">
        <v>1006.8</v>
      </c>
      <c r="I5" s="76">
        <v>85000.0</v>
      </c>
      <c r="J5" s="76">
        <v>101.4</v>
      </c>
      <c r="K5" s="76">
        <v>23.8</v>
      </c>
      <c r="L5" s="76">
        <v>35.6</v>
      </c>
      <c r="M5" s="76">
        <v>50.0</v>
      </c>
      <c r="N5" s="20" t="s">
        <v>164</v>
      </c>
    </row>
    <row r="6" ht="12.75" customHeight="1">
      <c r="A6" s="83">
        <v>1.0</v>
      </c>
      <c r="B6" s="83" t="s">
        <v>31</v>
      </c>
      <c r="C6" s="83">
        <v>1.0</v>
      </c>
      <c r="D6" s="83">
        <v>2017.0</v>
      </c>
      <c r="E6" s="74">
        <v>16.6</v>
      </c>
      <c r="F6" s="74">
        <v>99.9</v>
      </c>
      <c r="G6" s="74">
        <v>1420.0</v>
      </c>
      <c r="H6" s="74">
        <v>583.1</v>
      </c>
      <c r="I6" s="74">
        <v>104000.0</v>
      </c>
      <c r="J6" s="74">
        <v>101.0</v>
      </c>
      <c r="K6" s="74">
        <v>25.2</v>
      </c>
      <c r="L6" s="74">
        <v>45.4</v>
      </c>
      <c r="M6" s="74">
        <v>66.7</v>
      </c>
      <c r="N6" s="28" t="s">
        <v>165</v>
      </c>
    </row>
    <row r="7" ht="12.75" customHeight="1">
      <c r="A7" s="83">
        <v>1.0</v>
      </c>
      <c r="B7" s="83" t="s">
        <v>31</v>
      </c>
      <c r="C7" s="83">
        <v>1.0</v>
      </c>
      <c r="D7" s="83">
        <v>2018.0</v>
      </c>
      <c r="E7" s="76">
        <v>20.7</v>
      </c>
      <c r="F7" s="76">
        <v>101.6</v>
      </c>
      <c r="G7" s="76">
        <v>1380.0</v>
      </c>
      <c r="H7" s="76">
        <v>547.0</v>
      </c>
      <c r="I7" s="76">
        <v>127000.0</v>
      </c>
      <c r="J7" s="76">
        <v>101.5</v>
      </c>
      <c r="K7" s="76">
        <v>35.3</v>
      </c>
      <c r="L7" s="76">
        <v>52.5</v>
      </c>
      <c r="M7" s="76">
        <v>40.0</v>
      </c>
      <c r="N7" s="20" t="s">
        <v>166</v>
      </c>
    </row>
    <row r="8" ht="12.75" customHeight="1">
      <c r="A8" s="83">
        <v>1.0</v>
      </c>
      <c r="B8" s="83" t="s">
        <v>31</v>
      </c>
      <c r="C8" s="83">
        <v>1.0</v>
      </c>
      <c r="D8" s="83">
        <v>2019.0</v>
      </c>
      <c r="E8" s="74">
        <v>18.8</v>
      </c>
      <c r="F8" s="74">
        <v>100.8</v>
      </c>
      <c r="G8" s="74">
        <v>1330.0</v>
      </c>
      <c r="H8" s="74">
        <v>555.6</v>
      </c>
      <c r="I8" s="74">
        <v>135000.0</v>
      </c>
      <c r="J8" s="74">
        <v>101.8</v>
      </c>
      <c r="K8" s="74">
        <v>31.9</v>
      </c>
      <c r="L8" s="74">
        <v>50.9</v>
      </c>
      <c r="M8" s="84" t="s">
        <v>162</v>
      </c>
      <c r="N8" s="28" t="s">
        <v>167</v>
      </c>
    </row>
    <row r="9" ht="12.75" customHeight="1">
      <c r="A9" s="83">
        <v>1.0</v>
      </c>
      <c r="B9" s="83" t="s">
        <v>31</v>
      </c>
      <c r="C9" s="83">
        <v>1.0</v>
      </c>
      <c r="D9" s="83">
        <v>2020.0</v>
      </c>
      <c r="E9" s="76">
        <v>13.9</v>
      </c>
      <c r="F9" s="76">
        <v>91.4</v>
      </c>
      <c r="G9" s="76">
        <v>1300.0</v>
      </c>
      <c r="H9" s="76">
        <v>569.5</v>
      </c>
      <c r="I9" s="76">
        <v>142000.0</v>
      </c>
      <c r="J9" s="76">
        <v>95.1</v>
      </c>
      <c r="K9" s="76">
        <v>19.8</v>
      </c>
      <c r="L9" s="76">
        <v>46.5</v>
      </c>
      <c r="M9" s="76">
        <v>42.9</v>
      </c>
      <c r="N9" s="20" t="s">
        <v>168</v>
      </c>
    </row>
    <row r="10" ht="12.75" customHeight="1">
      <c r="A10" s="83">
        <v>1.0</v>
      </c>
      <c r="B10" s="83" t="s">
        <v>31</v>
      </c>
      <c r="C10" s="83">
        <v>1.0</v>
      </c>
      <c r="D10" s="83">
        <v>2021.0</v>
      </c>
      <c r="E10" s="74">
        <v>17.4</v>
      </c>
      <c r="F10" s="74">
        <v>102.2</v>
      </c>
      <c r="G10" s="74">
        <v>1490.0</v>
      </c>
      <c r="H10" s="74">
        <v>585.9</v>
      </c>
      <c r="I10" s="74">
        <v>149000.0</v>
      </c>
      <c r="J10" s="74">
        <v>100.8</v>
      </c>
      <c r="K10" s="74">
        <v>28.4</v>
      </c>
      <c r="L10" s="74">
        <v>50.2</v>
      </c>
      <c r="M10" s="74">
        <v>42.9</v>
      </c>
      <c r="N10" s="28" t="s">
        <v>169</v>
      </c>
    </row>
    <row r="11" ht="12.75" customHeight="1">
      <c r="A11" s="83">
        <v>1.0</v>
      </c>
      <c r="B11" s="83" t="s">
        <v>31</v>
      </c>
      <c r="C11" s="83">
        <v>1.0</v>
      </c>
      <c r="D11" s="83">
        <v>2022.0</v>
      </c>
      <c r="E11" s="76">
        <v>18.1</v>
      </c>
      <c r="F11" s="76">
        <v>102.0</v>
      </c>
      <c r="G11" s="76">
        <v>1820.0</v>
      </c>
      <c r="H11" s="76">
        <v>591.9</v>
      </c>
      <c r="I11" s="76">
        <v>165000.0</v>
      </c>
      <c r="J11" s="76">
        <v>97.5</v>
      </c>
      <c r="K11" s="76">
        <v>25.9</v>
      </c>
      <c r="L11" s="76">
        <v>42.2</v>
      </c>
      <c r="M11" s="76">
        <v>31.0</v>
      </c>
      <c r="N11" s="20" t="s">
        <v>170</v>
      </c>
    </row>
    <row r="12" ht="12.75" customHeight="1">
      <c r="A12" s="83">
        <v>1.0</v>
      </c>
      <c r="B12" s="83" t="s">
        <v>31</v>
      </c>
      <c r="C12" s="83">
        <v>1.0</v>
      </c>
      <c r="D12" s="83">
        <v>2023.0</v>
      </c>
      <c r="E12" s="74">
        <v>16.5</v>
      </c>
      <c r="F12" s="74">
        <v>99.2</v>
      </c>
      <c r="G12" s="74">
        <v>2060.0</v>
      </c>
      <c r="H12" s="74">
        <v>593.7</v>
      </c>
      <c r="I12" s="74">
        <v>176000.0</v>
      </c>
      <c r="J12" s="74">
        <v>96.4</v>
      </c>
      <c r="K12" s="74">
        <v>30.2</v>
      </c>
      <c r="L12" s="74">
        <v>43.5</v>
      </c>
      <c r="M12" s="74">
        <v>43.0</v>
      </c>
      <c r="N12" s="28" t="s">
        <v>171</v>
      </c>
    </row>
    <row r="13" ht="12.75" customHeight="1">
      <c r="A13" s="83">
        <v>1.0</v>
      </c>
      <c r="B13" s="83" t="s">
        <v>31</v>
      </c>
      <c r="C13" s="83">
        <v>1.0</v>
      </c>
      <c r="D13" s="83">
        <v>2024.0</v>
      </c>
      <c r="E13" s="76">
        <v>11.7</v>
      </c>
      <c r="F13" s="76">
        <v>96.6</v>
      </c>
      <c r="G13" s="76">
        <v>2860.0</v>
      </c>
      <c r="H13" s="76">
        <v>594.6</v>
      </c>
      <c r="I13" s="76">
        <v>215500.0</v>
      </c>
      <c r="J13" s="76">
        <v>98.0</v>
      </c>
      <c r="K13" s="76">
        <v>27.7</v>
      </c>
      <c r="L13" s="76">
        <v>56.6</v>
      </c>
      <c r="M13" s="76">
        <v>45.6</v>
      </c>
      <c r="N13" s="20" t="s">
        <v>172</v>
      </c>
    </row>
    <row r="14" ht="12.75" customHeight="1">
      <c r="A14" s="83">
        <v>2.0</v>
      </c>
      <c r="B14" s="83" t="s">
        <v>38</v>
      </c>
      <c r="C14" s="83">
        <v>1.0</v>
      </c>
      <c r="D14" s="83">
        <v>2015.0</v>
      </c>
      <c r="E14" s="74">
        <v>4.7</v>
      </c>
      <c r="F14" s="74">
        <v>97.7</v>
      </c>
      <c r="G14" s="74">
        <v>110.0</v>
      </c>
      <c r="H14" s="84" t="s">
        <v>162</v>
      </c>
      <c r="I14" s="74">
        <v>33059.0</v>
      </c>
      <c r="J14" s="74">
        <v>104.0</v>
      </c>
      <c r="K14" s="74">
        <v>22.4</v>
      </c>
      <c r="L14" s="84" t="s">
        <v>162</v>
      </c>
      <c r="M14" s="74">
        <v>75.0</v>
      </c>
      <c r="N14" s="28" t="s">
        <v>173</v>
      </c>
    </row>
    <row r="15" ht="12.75" customHeight="1">
      <c r="A15" s="83">
        <v>2.0</v>
      </c>
      <c r="B15" s="83" t="s">
        <v>38</v>
      </c>
      <c r="C15" s="83">
        <v>1.0</v>
      </c>
      <c r="D15" s="83">
        <v>2016.0</v>
      </c>
      <c r="E15" s="76">
        <v>4.7</v>
      </c>
      <c r="F15" s="76">
        <v>97.9</v>
      </c>
      <c r="G15" s="85" t="s">
        <v>162</v>
      </c>
      <c r="H15" s="85" t="s">
        <v>162</v>
      </c>
      <c r="I15" s="76">
        <v>35310.0</v>
      </c>
      <c r="J15" s="85" t="s">
        <v>162</v>
      </c>
      <c r="K15" s="76">
        <v>20.0</v>
      </c>
      <c r="L15" s="85" t="s">
        <v>162</v>
      </c>
      <c r="M15" s="76">
        <v>75.0</v>
      </c>
      <c r="N15" s="20" t="s">
        <v>174</v>
      </c>
    </row>
    <row r="16" ht="12.75" customHeight="1">
      <c r="A16" s="83">
        <v>2.0</v>
      </c>
      <c r="B16" s="83" t="s">
        <v>38</v>
      </c>
      <c r="C16" s="83">
        <v>1.0</v>
      </c>
      <c r="D16" s="83">
        <v>2017.0</v>
      </c>
      <c r="E16" s="74">
        <v>5.0</v>
      </c>
      <c r="F16" s="74">
        <v>105.2</v>
      </c>
      <c r="G16" s="74">
        <v>284.5</v>
      </c>
      <c r="H16" s="74">
        <v>551.7</v>
      </c>
      <c r="I16" s="74">
        <v>61122.0</v>
      </c>
      <c r="J16" s="74">
        <v>104.3</v>
      </c>
      <c r="K16" s="74">
        <v>50.3</v>
      </c>
      <c r="L16" s="84" t="s">
        <v>162</v>
      </c>
      <c r="M16" s="74">
        <v>100.0</v>
      </c>
      <c r="N16" s="28" t="s">
        <v>175</v>
      </c>
    </row>
    <row r="17" ht="12.75" customHeight="1">
      <c r="A17" s="83">
        <v>2.0</v>
      </c>
      <c r="B17" s="83" t="s">
        <v>38</v>
      </c>
      <c r="C17" s="83">
        <v>1.0</v>
      </c>
      <c r="D17" s="83">
        <v>2018.0</v>
      </c>
      <c r="E17" s="76">
        <v>5.0</v>
      </c>
      <c r="F17" s="76">
        <v>100.6</v>
      </c>
      <c r="G17" s="76">
        <v>310.0</v>
      </c>
      <c r="H17" s="76">
        <v>467.1</v>
      </c>
      <c r="I17" s="76">
        <v>70721.0</v>
      </c>
      <c r="J17" s="76">
        <v>105.1</v>
      </c>
      <c r="K17" s="76">
        <v>57.3</v>
      </c>
      <c r="L17" s="85" t="s">
        <v>162</v>
      </c>
      <c r="M17" s="76">
        <v>33.3</v>
      </c>
      <c r="N17" s="20" t="s">
        <v>176</v>
      </c>
    </row>
    <row r="18" ht="12.75" customHeight="1">
      <c r="A18" s="83">
        <v>2.0</v>
      </c>
      <c r="B18" s="83" t="s">
        <v>38</v>
      </c>
      <c r="C18" s="83">
        <v>1.0</v>
      </c>
      <c r="D18" s="83">
        <v>2019.0</v>
      </c>
      <c r="E18" s="74">
        <v>5.0</v>
      </c>
      <c r="F18" s="74">
        <v>103.8</v>
      </c>
      <c r="G18" s="74">
        <v>343.0</v>
      </c>
      <c r="H18" s="74">
        <v>455.2</v>
      </c>
      <c r="I18" s="74">
        <v>78520.0</v>
      </c>
      <c r="J18" s="74">
        <v>103.0</v>
      </c>
      <c r="K18" s="74">
        <v>66.3</v>
      </c>
      <c r="L18" s="84" t="s">
        <v>162</v>
      </c>
      <c r="M18" s="84" t="s">
        <v>162</v>
      </c>
      <c r="N18" s="28" t="s">
        <v>177</v>
      </c>
    </row>
    <row r="19" ht="12.75" customHeight="1">
      <c r="A19" s="83">
        <v>2.0</v>
      </c>
      <c r="B19" s="83" t="s">
        <v>38</v>
      </c>
      <c r="C19" s="83">
        <v>1.0</v>
      </c>
      <c r="D19" s="83">
        <v>2020.0</v>
      </c>
      <c r="E19" s="76">
        <v>5.0</v>
      </c>
      <c r="F19" s="76">
        <v>97.3</v>
      </c>
      <c r="G19" s="76">
        <v>336.0</v>
      </c>
      <c r="H19" s="76">
        <v>424.1</v>
      </c>
      <c r="I19" s="76">
        <v>88154.0</v>
      </c>
      <c r="J19" s="76">
        <v>104.2</v>
      </c>
      <c r="K19" s="76">
        <v>81.4</v>
      </c>
      <c r="L19" s="76">
        <v>3.4</v>
      </c>
      <c r="M19" s="76">
        <v>50.0</v>
      </c>
      <c r="N19" s="20" t="s">
        <v>178</v>
      </c>
    </row>
    <row r="20" ht="12.75" customHeight="1">
      <c r="A20" s="83">
        <v>2.0</v>
      </c>
      <c r="B20" s="83" t="s">
        <v>38</v>
      </c>
      <c r="C20" s="83">
        <v>1.0</v>
      </c>
      <c r="D20" s="83">
        <v>2021.0</v>
      </c>
      <c r="E20" s="74">
        <v>5.0</v>
      </c>
      <c r="F20" s="74">
        <v>101.5</v>
      </c>
      <c r="G20" s="74">
        <v>735.0</v>
      </c>
      <c r="H20" s="74">
        <v>424.8</v>
      </c>
      <c r="I20" s="74">
        <v>96365.0</v>
      </c>
      <c r="J20" s="74">
        <v>102.6</v>
      </c>
      <c r="K20" s="74">
        <v>118.0</v>
      </c>
      <c r="L20" s="74">
        <v>4.8</v>
      </c>
      <c r="M20" s="74">
        <v>30.0</v>
      </c>
      <c r="N20" s="28" t="s">
        <v>178</v>
      </c>
    </row>
    <row r="21" ht="12.75" customHeight="1">
      <c r="A21" s="83">
        <v>2.0</v>
      </c>
      <c r="B21" s="83" t="s">
        <v>38</v>
      </c>
      <c r="C21" s="83">
        <v>1.0</v>
      </c>
      <c r="D21" s="83">
        <v>2022.0</v>
      </c>
      <c r="E21" s="76">
        <v>5.0</v>
      </c>
      <c r="F21" s="76">
        <v>99.2</v>
      </c>
      <c r="G21" s="76">
        <v>250.0</v>
      </c>
      <c r="H21" s="76">
        <v>436.1</v>
      </c>
      <c r="I21" s="76">
        <v>108317.0</v>
      </c>
      <c r="J21" s="76">
        <v>96.7</v>
      </c>
      <c r="K21" s="76">
        <v>51.7</v>
      </c>
      <c r="L21" s="76">
        <v>3.7</v>
      </c>
      <c r="M21" s="76">
        <v>31.0</v>
      </c>
      <c r="N21" s="20" t="s">
        <v>179</v>
      </c>
    </row>
    <row r="22" ht="12.75" customHeight="1">
      <c r="A22" s="83">
        <v>2.0</v>
      </c>
      <c r="B22" s="83" t="s">
        <v>38</v>
      </c>
      <c r="C22" s="83">
        <v>1.0</v>
      </c>
      <c r="D22" s="83">
        <v>2023.0</v>
      </c>
      <c r="E22" s="74">
        <v>5.0</v>
      </c>
      <c r="F22" s="74">
        <v>103.7</v>
      </c>
      <c r="G22" s="74">
        <v>177.3</v>
      </c>
      <c r="H22" s="74">
        <v>441.4</v>
      </c>
      <c r="I22" s="74">
        <v>121608.0</v>
      </c>
      <c r="J22" s="84" t="s">
        <v>162</v>
      </c>
      <c r="K22" s="74">
        <v>60.1</v>
      </c>
      <c r="L22" s="74">
        <v>7.0</v>
      </c>
      <c r="M22" s="74">
        <v>28.1</v>
      </c>
      <c r="N22" s="28" t="s">
        <v>180</v>
      </c>
    </row>
    <row r="23" ht="12.75" customHeight="1">
      <c r="A23" s="83">
        <v>2.0</v>
      </c>
      <c r="B23" s="83" t="s">
        <v>38</v>
      </c>
      <c r="C23" s="83">
        <v>1.0</v>
      </c>
      <c r="D23" s="83">
        <v>2024.0</v>
      </c>
      <c r="E23" s="76">
        <v>5.0</v>
      </c>
      <c r="F23" s="76">
        <v>98.8</v>
      </c>
      <c r="G23" s="76">
        <v>326.4</v>
      </c>
      <c r="H23" s="76">
        <v>450.5</v>
      </c>
      <c r="I23" s="76">
        <v>147836.0</v>
      </c>
      <c r="J23" s="76">
        <v>104.5</v>
      </c>
      <c r="K23" s="76">
        <v>71.1</v>
      </c>
      <c r="L23" s="76">
        <v>5.6</v>
      </c>
      <c r="M23" s="76">
        <v>27.1</v>
      </c>
      <c r="N23" s="20" t="s">
        <v>181</v>
      </c>
    </row>
    <row r="24" ht="12.75" customHeight="1">
      <c r="A24" s="83">
        <v>3.0</v>
      </c>
      <c r="B24" s="83" t="s">
        <v>46</v>
      </c>
      <c r="C24" s="83">
        <v>1.0</v>
      </c>
      <c r="D24" s="83">
        <v>2015.0</v>
      </c>
      <c r="E24" s="74">
        <v>1.8</v>
      </c>
      <c r="F24" s="74">
        <v>106.3</v>
      </c>
      <c r="G24" s="84" t="s">
        <v>162</v>
      </c>
      <c r="H24" s="74">
        <v>383.4</v>
      </c>
      <c r="I24" s="74">
        <v>39342.0</v>
      </c>
      <c r="J24" s="74">
        <v>101.2</v>
      </c>
      <c r="K24" s="74">
        <v>33.0</v>
      </c>
      <c r="L24" s="84" t="s">
        <v>162</v>
      </c>
      <c r="M24" s="74">
        <v>41.4</v>
      </c>
      <c r="N24" s="28" t="s">
        <v>182</v>
      </c>
    </row>
    <row r="25" ht="12.75" customHeight="1">
      <c r="A25" s="83">
        <v>3.0</v>
      </c>
      <c r="B25" s="83" t="s">
        <v>46</v>
      </c>
      <c r="C25" s="83">
        <v>1.0</v>
      </c>
      <c r="D25" s="83">
        <v>2016.0</v>
      </c>
      <c r="E25" s="76">
        <v>1.21</v>
      </c>
      <c r="F25" s="76">
        <v>105.3</v>
      </c>
      <c r="G25" s="76">
        <v>380.5</v>
      </c>
      <c r="H25" s="76">
        <v>396.2</v>
      </c>
      <c r="I25" s="76">
        <v>43318.0</v>
      </c>
      <c r="J25" s="76">
        <v>100.3</v>
      </c>
      <c r="K25" s="76">
        <v>24.5</v>
      </c>
      <c r="L25" s="85" t="s">
        <v>162</v>
      </c>
      <c r="M25" s="76">
        <v>32.7</v>
      </c>
      <c r="N25" s="20" t="s">
        <v>183</v>
      </c>
    </row>
    <row r="26" ht="12.75" customHeight="1">
      <c r="A26" s="83">
        <v>3.0</v>
      </c>
      <c r="B26" s="83" t="s">
        <v>46</v>
      </c>
      <c r="C26" s="83">
        <v>1.0</v>
      </c>
      <c r="D26" s="83">
        <v>2017.0</v>
      </c>
      <c r="E26" s="84" t="s">
        <v>162</v>
      </c>
      <c r="F26" s="74">
        <v>104.3</v>
      </c>
      <c r="G26" s="74">
        <v>430.0</v>
      </c>
      <c r="H26" s="84" t="s">
        <v>162</v>
      </c>
      <c r="I26" s="74">
        <v>45894.0</v>
      </c>
      <c r="J26" s="74">
        <v>104.2</v>
      </c>
      <c r="K26" s="74">
        <v>19.8</v>
      </c>
      <c r="L26" s="84" t="s">
        <v>162</v>
      </c>
      <c r="M26" s="84" t="s">
        <v>162</v>
      </c>
      <c r="N26" s="28" t="s">
        <v>184</v>
      </c>
    </row>
    <row r="27" ht="12.75" customHeight="1">
      <c r="A27" s="83">
        <v>3.0</v>
      </c>
      <c r="B27" s="83" t="s">
        <v>46</v>
      </c>
      <c r="C27" s="83">
        <v>1.0</v>
      </c>
      <c r="D27" s="83">
        <v>2018.0</v>
      </c>
      <c r="E27" s="85" t="s">
        <v>162</v>
      </c>
      <c r="F27" s="76">
        <v>102.7</v>
      </c>
      <c r="G27" s="76">
        <v>500.0</v>
      </c>
      <c r="H27" s="85" t="s">
        <v>162</v>
      </c>
      <c r="I27" s="76">
        <v>49159.0</v>
      </c>
      <c r="J27" s="85" t="s">
        <v>162</v>
      </c>
      <c r="K27" s="76">
        <v>26.5</v>
      </c>
      <c r="L27" s="85" t="s">
        <v>162</v>
      </c>
      <c r="M27" s="76">
        <v>20.0</v>
      </c>
      <c r="N27" s="20" t="s">
        <v>185</v>
      </c>
    </row>
    <row r="28" ht="12.75" customHeight="1">
      <c r="A28" s="83">
        <v>3.0</v>
      </c>
      <c r="B28" s="83" t="s">
        <v>46</v>
      </c>
      <c r="C28" s="83">
        <v>1.0</v>
      </c>
      <c r="D28" s="83">
        <v>2019.0</v>
      </c>
      <c r="E28" s="74">
        <v>1.1</v>
      </c>
      <c r="F28" s="74">
        <v>101.2</v>
      </c>
      <c r="G28" s="74">
        <v>532.2</v>
      </c>
      <c r="H28" s="84" t="s">
        <v>162</v>
      </c>
      <c r="I28" s="74">
        <v>54332.0</v>
      </c>
      <c r="J28" s="84" t="s">
        <v>162</v>
      </c>
      <c r="K28" s="74">
        <v>23.2</v>
      </c>
      <c r="L28" s="84" t="s">
        <v>162</v>
      </c>
      <c r="M28" s="74">
        <v>40.0</v>
      </c>
      <c r="N28" s="28" t="s">
        <v>186</v>
      </c>
    </row>
    <row r="29" ht="12.75" customHeight="1">
      <c r="A29" s="83">
        <v>3.0</v>
      </c>
      <c r="B29" s="83" t="s">
        <v>46</v>
      </c>
      <c r="C29" s="83">
        <v>1.0</v>
      </c>
      <c r="D29" s="83">
        <v>2020.0</v>
      </c>
      <c r="E29" s="76">
        <v>1.0</v>
      </c>
      <c r="F29" s="76">
        <v>97.1</v>
      </c>
      <c r="G29" s="85" t="s">
        <v>162</v>
      </c>
      <c r="H29" s="76">
        <v>365.4</v>
      </c>
      <c r="I29" s="76">
        <v>57339.0</v>
      </c>
      <c r="J29" s="85" t="s">
        <v>162</v>
      </c>
      <c r="K29" s="76">
        <v>21.6</v>
      </c>
      <c r="L29" s="76">
        <v>0.6</v>
      </c>
      <c r="M29" s="85" t="s">
        <v>162</v>
      </c>
      <c r="N29" s="20" t="s">
        <v>187</v>
      </c>
    </row>
    <row r="30" ht="12.75" customHeight="1">
      <c r="A30" s="83">
        <v>3.0</v>
      </c>
      <c r="B30" s="83" t="s">
        <v>46</v>
      </c>
      <c r="C30" s="83">
        <v>1.0</v>
      </c>
      <c r="D30" s="83">
        <v>2021.0</v>
      </c>
      <c r="E30" s="74">
        <v>1.23</v>
      </c>
      <c r="F30" s="74">
        <v>104.3</v>
      </c>
      <c r="G30" s="84" t="s">
        <v>162</v>
      </c>
      <c r="H30" s="74">
        <v>372.1</v>
      </c>
      <c r="I30" s="74">
        <v>63702.0</v>
      </c>
      <c r="J30" s="84" t="s">
        <v>162</v>
      </c>
      <c r="K30" s="74">
        <v>43.0</v>
      </c>
      <c r="L30" s="74">
        <v>3.6</v>
      </c>
      <c r="M30" s="74">
        <v>20.3</v>
      </c>
      <c r="N30" s="28" t="s">
        <v>188</v>
      </c>
    </row>
    <row r="31" ht="12.75" customHeight="1">
      <c r="A31" s="83">
        <v>3.0</v>
      </c>
      <c r="B31" s="83" t="s">
        <v>46</v>
      </c>
      <c r="C31" s="83">
        <v>1.0</v>
      </c>
      <c r="D31" s="83">
        <v>2022.0</v>
      </c>
      <c r="E31" s="76">
        <v>1.13</v>
      </c>
      <c r="F31" s="76">
        <v>98.2</v>
      </c>
      <c r="G31" s="76">
        <v>796.0</v>
      </c>
      <c r="H31" s="76">
        <v>378.6</v>
      </c>
      <c r="I31" s="76">
        <v>75283.0</v>
      </c>
      <c r="J31" s="85" t="s">
        <v>162</v>
      </c>
      <c r="K31" s="76">
        <v>46.7</v>
      </c>
      <c r="L31" s="76">
        <v>4.0</v>
      </c>
      <c r="M31" s="85" t="s">
        <v>162</v>
      </c>
      <c r="N31" s="20" t="s">
        <v>189</v>
      </c>
    </row>
    <row r="32" ht="12.75" customHeight="1">
      <c r="A32" s="83">
        <v>3.0</v>
      </c>
      <c r="B32" s="83" t="s">
        <v>46</v>
      </c>
      <c r="C32" s="83">
        <v>1.0</v>
      </c>
      <c r="D32" s="83">
        <v>2023.0</v>
      </c>
      <c r="E32" s="74">
        <v>1.3</v>
      </c>
      <c r="F32" s="74">
        <v>101.5</v>
      </c>
      <c r="G32" s="74">
        <v>900.0</v>
      </c>
      <c r="H32" s="74">
        <v>392.4</v>
      </c>
      <c r="I32" s="74">
        <v>87873.0</v>
      </c>
      <c r="J32" s="84" t="s">
        <v>162</v>
      </c>
      <c r="K32" s="74">
        <v>31.2</v>
      </c>
      <c r="L32" s="74">
        <v>5.3</v>
      </c>
      <c r="M32" s="84" t="s">
        <v>162</v>
      </c>
      <c r="N32" s="28" t="s">
        <v>190</v>
      </c>
    </row>
    <row r="33" ht="12.75" customHeight="1">
      <c r="A33" s="83">
        <v>3.0</v>
      </c>
      <c r="B33" s="83" t="s">
        <v>46</v>
      </c>
      <c r="C33" s="83">
        <v>1.0</v>
      </c>
      <c r="D33" s="83">
        <v>2024.0</v>
      </c>
      <c r="E33" s="76">
        <v>1.1</v>
      </c>
      <c r="F33" s="76">
        <v>104.2</v>
      </c>
      <c r="G33" s="76">
        <v>1792.1</v>
      </c>
      <c r="H33" s="76">
        <v>410.1</v>
      </c>
      <c r="I33" s="76">
        <v>105835.0</v>
      </c>
      <c r="J33" s="76">
        <v>105.8</v>
      </c>
      <c r="K33" s="76">
        <v>27.6</v>
      </c>
      <c r="L33" s="76">
        <v>2.9</v>
      </c>
      <c r="M33" s="76">
        <v>16.5</v>
      </c>
      <c r="N33" s="20" t="s">
        <v>189</v>
      </c>
    </row>
    <row r="34" ht="12.75" customHeight="1">
      <c r="A34" s="86">
        <v>6.0</v>
      </c>
      <c r="B34" s="86" t="s">
        <v>48</v>
      </c>
      <c r="C34" s="86">
        <v>2.0</v>
      </c>
      <c r="D34" s="86">
        <v>2015.0</v>
      </c>
      <c r="E34" s="74">
        <v>3.87</v>
      </c>
      <c r="F34" s="74">
        <v>103.7</v>
      </c>
      <c r="G34" s="74">
        <v>519.0</v>
      </c>
      <c r="H34" s="84" t="s">
        <v>162</v>
      </c>
      <c r="I34" s="74">
        <v>19721.0</v>
      </c>
      <c r="J34" s="74">
        <v>102.6</v>
      </c>
      <c r="K34" s="74">
        <v>21.3</v>
      </c>
      <c r="L34" s="74">
        <v>3.5</v>
      </c>
      <c r="M34" s="84" t="s">
        <v>162</v>
      </c>
      <c r="N34" s="28" t="s">
        <v>191</v>
      </c>
    </row>
    <row r="35" ht="12.75" customHeight="1">
      <c r="A35" s="86">
        <v>6.0</v>
      </c>
      <c r="B35" s="86" t="s">
        <v>48</v>
      </c>
      <c r="C35" s="86">
        <v>2.0</v>
      </c>
      <c r="D35" s="86">
        <v>2016.0</v>
      </c>
      <c r="E35" s="76">
        <v>3.84</v>
      </c>
      <c r="F35" s="76">
        <v>102.2</v>
      </c>
      <c r="G35" s="76">
        <v>623.0</v>
      </c>
      <c r="H35" s="85" t="s">
        <v>162</v>
      </c>
      <c r="I35" s="76">
        <v>21755.0</v>
      </c>
      <c r="J35" s="76">
        <v>104.8</v>
      </c>
      <c r="K35" s="76">
        <v>16.8</v>
      </c>
      <c r="L35" s="76">
        <v>3.5</v>
      </c>
      <c r="M35" s="85" t="s">
        <v>162</v>
      </c>
      <c r="N35" s="20" t="s">
        <v>191</v>
      </c>
    </row>
    <row r="36" ht="12.75" customHeight="1">
      <c r="A36" s="86">
        <v>6.0</v>
      </c>
      <c r="B36" s="86" t="s">
        <v>48</v>
      </c>
      <c r="C36" s="86">
        <v>2.0</v>
      </c>
      <c r="D36" s="86">
        <v>2017.0</v>
      </c>
      <c r="E36" s="74">
        <v>3.55</v>
      </c>
      <c r="F36" s="74">
        <v>104.6</v>
      </c>
      <c r="G36" s="74">
        <v>706.0</v>
      </c>
      <c r="H36" s="74">
        <v>5078.0</v>
      </c>
      <c r="I36" s="74">
        <v>25671.0</v>
      </c>
      <c r="J36" s="74">
        <v>102.4</v>
      </c>
      <c r="K36" s="74">
        <v>17.3</v>
      </c>
      <c r="L36" s="74">
        <v>4.3</v>
      </c>
      <c r="M36" s="84" t="s">
        <v>162</v>
      </c>
      <c r="N36" s="28" t="s">
        <v>191</v>
      </c>
    </row>
    <row r="37" ht="12.75" customHeight="1">
      <c r="A37" s="86">
        <v>6.0</v>
      </c>
      <c r="B37" s="86" t="s">
        <v>48</v>
      </c>
      <c r="C37" s="86">
        <v>2.0</v>
      </c>
      <c r="D37" s="86">
        <v>2018.0</v>
      </c>
      <c r="E37" s="76">
        <v>3.39</v>
      </c>
      <c r="F37" s="76">
        <v>102.0</v>
      </c>
      <c r="G37" s="76">
        <v>782.0</v>
      </c>
      <c r="H37" s="76">
        <v>4948.0</v>
      </c>
      <c r="I37" s="76">
        <v>28699.0</v>
      </c>
      <c r="J37" s="76">
        <v>99.8</v>
      </c>
      <c r="K37" s="76">
        <v>20.2</v>
      </c>
      <c r="L37" s="76">
        <v>4.1</v>
      </c>
      <c r="M37" s="85" t="s">
        <v>162</v>
      </c>
      <c r="N37" s="20" t="s">
        <v>191</v>
      </c>
    </row>
    <row r="38" ht="12.75" customHeight="1">
      <c r="A38" s="86">
        <v>6.0</v>
      </c>
      <c r="B38" s="86" t="s">
        <v>48</v>
      </c>
      <c r="C38" s="86">
        <v>2.0</v>
      </c>
      <c r="D38" s="86">
        <v>2019.0</v>
      </c>
      <c r="E38" s="74">
        <v>3.53</v>
      </c>
      <c r="F38" s="74">
        <v>106.0</v>
      </c>
      <c r="G38" s="74">
        <v>839.0</v>
      </c>
      <c r="H38" s="74">
        <v>4790.0</v>
      </c>
      <c r="I38" s="74">
        <v>31728.0</v>
      </c>
      <c r="J38" s="74">
        <v>104.3</v>
      </c>
      <c r="K38" s="74">
        <v>18.6</v>
      </c>
      <c r="L38" s="74">
        <v>4.5</v>
      </c>
      <c r="M38" s="74">
        <v>28.6</v>
      </c>
      <c r="N38" s="28" t="s">
        <v>191</v>
      </c>
    </row>
    <row r="39" ht="12.75" customHeight="1">
      <c r="A39" s="86">
        <v>6.0</v>
      </c>
      <c r="B39" s="86" t="s">
        <v>48</v>
      </c>
      <c r="C39" s="86">
        <v>2.0</v>
      </c>
      <c r="D39" s="86">
        <v>2020.0</v>
      </c>
      <c r="E39" s="76">
        <v>4.01</v>
      </c>
      <c r="F39" s="76">
        <v>99.8</v>
      </c>
      <c r="G39" s="76">
        <v>865.0</v>
      </c>
      <c r="H39" s="76">
        <v>4645.0</v>
      </c>
      <c r="I39" s="76">
        <v>34770.0</v>
      </c>
      <c r="J39" s="76">
        <v>101.3</v>
      </c>
      <c r="K39" s="76">
        <v>22.9</v>
      </c>
      <c r="L39" s="76">
        <v>3.8</v>
      </c>
      <c r="M39" s="76">
        <v>27.7</v>
      </c>
      <c r="N39" s="20" t="s">
        <v>191</v>
      </c>
    </row>
    <row r="40" ht="12.75" customHeight="1">
      <c r="A40" s="86">
        <v>6.0</v>
      </c>
      <c r="B40" s="86" t="s">
        <v>48</v>
      </c>
      <c r="C40" s="86">
        <v>2.0</v>
      </c>
      <c r="D40" s="86">
        <v>2021.0</v>
      </c>
      <c r="E40" s="74">
        <v>3.36</v>
      </c>
      <c r="F40" s="74">
        <v>101.9</v>
      </c>
      <c r="G40" s="74">
        <v>962.0</v>
      </c>
      <c r="H40" s="74">
        <v>4514.0</v>
      </c>
      <c r="I40" s="74">
        <v>39437.0</v>
      </c>
      <c r="J40" s="74">
        <v>99.6</v>
      </c>
      <c r="K40" s="74">
        <v>28.9</v>
      </c>
      <c r="L40" s="74">
        <v>4.7</v>
      </c>
      <c r="M40" s="74">
        <v>24.6</v>
      </c>
      <c r="N40" s="28" t="s">
        <v>191</v>
      </c>
    </row>
    <row r="41" ht="12.75" customHeight="1">
      <c r="A41" s="86">
        <v>6.0</v>
      </c>
      <c r="B41" s="86" t="s">
        <v>48</v>
      </c>
      <c r="C41" s="86">
        <v>2.0</v>
      </c>
      <c r="D41" s="86">
        <v>2022.0</v>
      </c>
      <c r="E41" s="76">
        <v>3.42</v>
      </c>
      <c r="F41" s="76">
        <v>108.3</v>
      </c>
      <c r="G41" s="76">
        <v>1115.0</v>
      </c>
      <c r="H41" s="76">
        <v>4495.0</v>
      </c>
      <c r="I41" s="76">
        <v>46777.0</v>
      </c>
      <c r="J41" s="76">
        <v>110.2</v>
      </c>
      <c r="K41" s="76">
        <v>21.2</v>
      </c>
      <c r="L41" s="76">
        <v>4.1</v>
      </c>
      <c r="M41" s="76">
        <v>24.7</v>
      </c>
      <c r="N41" s="20" t="s">
        <v>191</v>
      </c>
    </row>
    <row r="42" ht="12.75" customHeight="1">
      <c r="A42" s="86">
        <v>6.0</v>
      </c>
      <c r="B42" s="86" t="s">
        <v>48</v>
      </c>
      <c r="C42" s="86">
        <v>2.0</v>
      </c>
      <c r="D42" s="86">
        <v>2023.0</v>
      </c>
      <c r="E42" s="74">
        <v>2.97</v>
      </c>
      <c r="F42" s="74">
        <v>102.3</v>
      </c>
      <c r="G42" s="74">
        <v>1252.0</v>
      </c>
      <c r="H42" s="74">
        <v>4408.0</v>
      </c>
      <c r="I42" s="74">
        <v>65129.0</v>
      </c>
      <c r="J42" s="74">
        <v>100.2</v>
      </c>
      <c r="K42" s="74">
        <v>23.9</v>
      </c>
      <c r="L42" s="74">
        <v>4.6</v>
      </c>
      <c r="M42" s="74">
        <v>26.6</v>
      </c>
      <c r="N42" s="28" t="s">
        <v>191</v>
      </c>
    </row>
    <row r="43" ht="12.75" customHeight="1">
      <c r="A43" s="86">
        <v>6.0</v>
      </c>
      <c r="B43" s="86" t="s">
        <v>48</v>
      </c>
      <c r="C43" s="86">
        <v>2.0</v>
      </c>
      <c r="D43" s="86">
        <v>2024.0</v>
      </c>
      <c r="E43" s="76">
        <v>2.74</v>
      </c>
      <c r="F43" s="76">
        <v>102.7</v>
      </c>
      <c r="G43" s="76">
        <v>1298.0</v>
      </c>
      <c r="H43" s="85" t="s">
        <v>162</v>
      </c>
      <c r="I43" s="76">
        <v>77735.0</v>
      </c>
      <c r="J43" s="76">
        <v>96.8</v>
      </c>
      <c r="K43" s="76">
        <v>22.4</v>
      </c>
      <c r="L43" s="76">
        <v>4.9</v>
      </c>
      <c r="M43" s="76">
        <v>27.3</v>
      </c>
      <c r="N43" s="20" t="s">
        <v>191</v>
      </c>
    </row>
    <row r="44" ht="12.75" customHeight="1">
      <c r="A44" s="86">
        <v>7.0</v>
      </c>
      <c r="B44" s="86" t="s">
        <v>54</v>
      </c>
      <c r="C44" s="86">
        <v>2.0</v>
      </c>
      <c r="D44" s="86">
        <v>2015.0</v>
      </c>
      <c r="E44" s="74">
        <v>6.2</v>
      </c>
      <c r="F44" s="74">
        <v>99.9</v>
      </c>
      <c r="G44" s="74">
        <v>401.0</v>
      </c>
      <c r="H44" s="84" t="s">
        <v>162</v>
      </c>
      <c r="I44" s="74">
        <v>29960.0</v>
      </c>
      <c r="J44" s="74">
        <v>96.1</v>
      </c>
      <c r="K44" s="74">
        <v>5.4</v>
      </c>
      <c r="L44" s="74">
        <v>12.7</v>
      </c>
      <c r="M44" s="84" t="s">
        <v>162</v>
      </c>
      <c r="N44" s="28" t="s">
        <v>192</v>
      </c>
    </row>
    <row r="45" ht="12.75" customHeight="1">
      <c r="A45" s="86">
        <v>7.0</v>
      </c>
      <c r="B45" s="86" t="s">
        <v>54</v>
      </c>
      <c r="C45" s="86">
        <v>2.0</v>
      </c>
      <c r="D45" s="86">
        <v>2016.0</v>
      </c>
      <c r="E45" s="76">
        <v>6.2</v>
      </c>
      <c r="F45" s="76">
        <v>101.3</v>
      </c>
      <c r="G45" s="76">
        <v>443.0</v>
      </c>
      <c r="H45" s="85" t="s">
        <v>162</v>
      </c>
      <c r="I45" s="76">
        <v>32332.0</v>
      </c>
      <c r="J45" s="76">
        <v>97.8</v>
      </c>
      <c r="K45" s="76">
        <v>5.5</v>
      </c>
      <c r="L45" s="76">
        <v>10.9</v>
      </c>
      <c r="M45" s="85" t="s">
        <v>162</v>
      </c>
      <c r="N45" s="20" t="s">
        <v>192</v>
      </c>
    </row>
    <row r="46" ht="12.75" customHeight="1">
      <c r="A46" s="86">
        <v>7.0</v>
      </c>
      <c r="B46" s="86" t="s">
        <v>54</v>
      </c>
      <c r="C46" s="86">
        <v>2.0</v>
      </c>
      <c r="D46" s="86">
        <v>2017.0</v>
      </c>
      <c r="E46" s="74">
        <v>6.0</v>
      </c>
      <c r="F46" s="74">
        <v>97.3</v>
      </c>
      <c r="G46" s="74">
        <v>511.0</v>
      </c>
      <c r="H46" s="74">
        <v>6351.0</v>
      </c>
      <c r="I46" s="74">
        <v>33678.0</v>
      </c>
      <c r="J46" s="74">
        <v>98.6</v>
      </c>
      <c r="K46" s="74">
        <v>7.2</v>
      </c>
      <c r="L46" s="74">
        <v>10.2</v>
      </c>
      <c r="M46" s="84" t="s">
        <v>162</v>
      </c>
      <c r="N46" s="28" t="s">
        <v>192</v>
      </c>
    </row>
    <row r="47" ht="12.75" customHeight="1">
      <c r="A47" s="86">
        <v>7.0</v>
      </c>
      <c r="B47" s="86" t="s">
        <v>54</v>
      </c>
      <c r="C47" s="86">
        <v>2.0</v>
      </c>
      <c r="D47" s="86">
        <v>2018.0</v>
      </c>
      <c r="E47" s="76">
        <v>5.6</v>
      </c>
      <c r="F47" s="76">
        <v>100.8</v>
      </c>
      <c r="G47" s="76">
        <v>638.0</v>
      </c>
      <c r="H47" s="76">
        <v>6431.0</v>
      </c>
      <c r="I47" s="76">
        <v>38518.0</v>
      </c>
      <c r="J47" s="76">
        <v>105.6</v>
      </c>
      <c r="K47" s="76">
        <v>6.1</v>
      </c>
      <c r="L47" s="76">
        <v>10.4</v>
      </c>
      <c r="M47" s="85" t="s">
        <v>162</v>
      </c>
      <c r="N47" s="20" t="s">
        <v>192</v>
      </c>
    </row>
    <row r="48" ht="12.75" customHeight="1">
      <c r="A48" s="86">
        <v>7.0</v>
      </c>
      <c r="B48" s="86" t="s">
        <v>54</v>
      </c>
      <c r="C48" s="86">
        <v>2.0</v>
      </c>
      <c r="D48" s="86">
        <v>2019.0</v>
      </c>
      <c r="E48" s="74">
        <v>5.5</v>
      </c>
      <c r="F48" s="74">
        <v>97.0</v>
      </c>
      <c r="G48" s="74">
        <v>682.0</v>
      </c>
      <c r="H48" s="74">
        <v>6440.0</v>
      </c>
      <c r="I48" s="74">
        <v>42630.0</v>
      </c>
      <c r="J48" s="74">
        <v>100.6</v>
      </c>
      <c r="K48" s="74">
        <v>7.0</v>
      </c>
      <c r="L48" s="74">
        <v>11.9</v>
      </c>
      <c r="M48" s="74">
        <v>35.2</v>
      </c>
      <c r="N48" s="28" t="s">
        <v>192</v>
      </c>
    </row>
    <row r="49" ht="12.75" customHeight="1">
      <c r="A49" s="86">
        <v>7.0</v>
      </c>
      <c r="B49" s="86" t="s">
        <v>54</v>
      </c>
      <c r="C49" s="86">
        <v>2.0</v>
      </c>
      <c r="D49" s="86">
        <v>2020.0</v>
      </c>
      <c r="E49" s="76">
        <v>5.5</v>
      </c>
      <c r="F49" s="76">
        <v>99.8</v>
      </c>
      <c r="G49" s="76">
        <v>745.0</v>
      </c>
      <c r="H49" s="76">
        <v>6209.0</v>
      </c>
      <c r="I49" s="76">
        <v>44738.0</v>
      </c>
      <c r="J49" s="76">
        <v>100.7</v>
      </c>
      <c r="K49" s="76">
        <v>8.1</v>
      </c>
      <c r="L49" s="76">
        <v>10.7</v>
      </c>
      <c r="M49" s="76">
        <v>33.3</v>
      </c>
      <c r="N49" s="20" t="s">
        <v>192</v>
      </c>
    </row>
    <row r="50" ht="12.75" customHeight="1">
      <c r="A50" s="86">
        <v>7.0</v>
      </c>
      <c r="B50" s="86" t="s">
        <v>54</v>
      </c>
      <c r="C50" s="86">
        <v>2.0</v>
      </c>
      <c r="D50" s="86">
        <v>2021.0</v>
      </c>
      <c r="E50" s="74">
        <v>4.6</v>
      </c>
      <c r="F50" s="74">
        <v>100.3</v>
      </c>
      <c r="G50" s="74">
        <v>907.0</v>
      </c>
      <c r="H50" s="74">
        <v>6530.0</v>
      </c>
      <c r="I50" s="74">
        <v>51944.0</v>
      </c>
      <c r="J50" s="74">
        <v>105.9</v>
      </c>
      <c r="K50" s="74">
        <v>7.1</v>
      </c>
      <c r="L50" s="74">
        <v>10.1</v>
      </c>
      <c r="M50" s="74">
        <v>33.3</v>
      </c>
      <c r="N50" s="28" t="s">
        <v>192</v>
      </c>
    </row>
    <row r="51" ht="12.75" customHeight="1">
      <c r="A51" s="86">
        <v>7.0</v>
      </c>
      <c r="B51" s="86" t="s">
        <v>54</v>
      </c>
      <c r="C51" s="86">
        <v>2.0</v>
      </c>
      <c r="D51" s="86">
        <v>2022.0</v>
      </c>
      <c r="E51" s="76">
        <v>4.9</v>
      </c>
      <c r="F51" s="76">
        <v>103.7</v>
      </c>
      <c r="G51" s="76">
        <v>1226.0</v>
      </c>
      <c r="H51" s="76">
        <v>6605.0</v>
      </c>
      <c r="I51" s="76">
        <v>60850.0</v>
      </c>
      <c r="J51" s="76">
        <v>105.2</v>
      </c>
      <c r="K51" s="76">
        <v>9.2</v>
      </c>
      <c r="L51" s="76">
        <v>11.1</v>
      </c>
      <c r="M51" s="76">
        <v>30.4</v>
      </c>
      <c r="N51" s="20" t="s">
        <v>192</v>
      </c>
    </row>
    <row r="52" ht="12.75" customHeight="1">
      <c r="A52" s="86">
        <v>7.0</v>
      </c>
      <c r="B52" s="86" t="s">
        <v>54</v>
      </c>
      <c r="C52" s="86">
        <v>2.0</v>
      </c>
      <c r="D52" s="86">
        <v>2023.0</v>
      </c>
      <c r="E52" s="74">
        <v>5.0</v>
      </c>
      <c r="F52" s="74">
        <v>106.0</v>
      </c>
      <c r="G52" s="74">
        <v>1445.0</v>
      </c>
      <c r="H52" s="74">
        <v>6814.0</v>
      </c>
      <c r="I52" s="74">
        <v>71707.0</v>
      </c>
      <c r="J52" s="74">
        <v>107.9</v>
      </c>
      <c r="K52" s="74">
        <v>10.8</v>
      </c>
      <c r="L52" s="74">
        <v>13.0</v>
      </c>
      <c r="M52" s="74">
        <v>28.3</v>
      </c>
      <c r="N52" s="28" t="s">
        <v>192</v>
      </c>
    </row>
    <row r="53" ht="12.75" customHeight="1">
      <c r="A53" s="86">
        <v>7.0</v>
      </c>
      <c r="B53" s="86" t="s">
        <v>54</v>
      </c>
      <c r="C53" s="86">
        <v>2.0</v>
      </c>
      <c r="D53" s="86">
        <v>2024.0</v>
      </c>
      <c r="E53" s="76">
        <v>5.0</v>
      </c>
      <c r="F53" s="76">
        <v>102.8</v>
      </c>
      <c r="G53" s="76">
        <v>1664.0</v>
      </c>
      <c r="H53" s="85" t="s">
        <v>162</v>
      </c>
      <c r="I53" s="76">
        <v>85606.0</v>
      </c>
      <c r="J53" s="76">
        <v>102.1</v>
      </c>
      <c r="K53" s="76">
        <v>9.8</v>
      </c>
      <c r="L53" s="76">
        <v>14.4</v>
      </c>
      <c r="M53" s="76">
        <v>29.6</v>
      </c>
      <c r="N53" s="20" t="s">
        <v>192</v>
      </c>
    </row>
    <row r="54" ht="12.75" customHeight="1">
      <c r="A54" s="86">
        <v>8.0</v>
      </c>
      <c r="B54" s="86" t="s">
        <v>52</v>
      </c>
      <c r="C54" s="86">
        <v>2.0</v>
      </c>
      <c r="D54" s="86">
        <v>2015.0</v>
      </c>
      <c r="E54" s="74">
        <v>6.0</v>
      </c>
      <c r="F54" s="74">
        <v>100.3</v>
      </c>
      <c r="G54" s="74">
        <v>2146.6</v>
      </c>
      <c r="H54" s="84" t="s">
        <v>162</v>
      </c>
      <c r="I54" s="74">
        <v>38982.0</v>
      </c>
      <c r="J54" s="74">
        <v>99.3</v>
      </c>
      <c r="K54" s="74">
        <v>10.6</v>
      </c>
      <c r="L54" s="74">
        <v>7.3</v>
      </c>
      <c r="M54" s="84" t="s">
        <v>162</v>
      </c>
      <c r="N54" s="28" t="s">
        <v>193</v>
      </c>
    </row>
    <row r="55" ht="12.75" customHeight="1">
      <c r="A55" s="86">
        <v>8.0</v>
      </c>
      <c r="B55" s="86" t="s">
        <v>52</v>
      </c>
      <c r="C55" s="86">
        <v>2.0</v>
      </c>
      <c r="D55" s="86">
        <v>2016.0</v>
      </c>
      <c r="E55" s="76">
        <v>6.6</v>
      </c>
      <c r="F55" s="76">
        <v>102.3</v>
      </c>
      <c r="G55" s="76">
        <v>2424.1</v>
      </c>
      <c r="H55" s="85" t="s">
        <v>162</v>
      </c>
      <c r="I55" s="76">
        <v>41510.0</v>
      </c>
      <c r="J55" s="76">
        <v>101.6</v>
      </c>
      <c r="K55" s="76">
        <v>10.8</v>
      </c>
      <c r="L55" s="76">
        <v>7.2</v>
      </c>
      <c r="M55" s="85" t="s">
        <v>162</v>
      </c>
      <c r="N55" s="20" t="s">
        <v>193</v>
      </c>
    </row>
    <row r="56" ht="12.75" customHeight="1">
      <c r="A56" s="86">
        <v>8.0</v>
      </c>
      <c r="B56" s="86" t="s">
        <v>52</v>
      </c>
      <c r="C56" s="86">
        <v>2.0</v>
      </c>
      <c r="D56" s="86">
        <v>2017.0</v>
      </c>
      <c r="E56" s="74">
        <v>6.3</v>
      </c>
      <c r="F56" s="74">
        <v>100.4</v>
      </c>
      <c r="G56" s="74">
        <v>2659.4</v>
      </c>
      <c r="H56" s="74">
        <v>5298.0</v>
      </c>
      <c r="I56" s="74">
        <v>43967.0</v>
      </c>
      <c r="J56" s="74">
        <v>100.1</v>
      </c>
      <c r="K56" s="74">
        <v>9.7</v>
      </c>
      <c r="L56" s="74">
        <v>6.8</v>
      </c>
      <c r="M56" s="84" t="s">
        <v>162</v>
      </c>
      <c r="N56" s="28" t="s">
        <v>193</v>
      </c>
    </row>
    <row r="57" ht="12.75" customHeight="1">
      <c r="A57" s="86">
        <v>8.0</v>
      </c>
      <c r="B57" s="86" t="s">
        <v>52</v>
      </c>
      <c r="C57" s="86">
        <v>2.0</v>
      </c>
      <c r="D57" s="86">
        <v>2018.0</v>
      </c>
      <c r="E57" s="76">
        <v>5.9</v>
      </c>
      <c r="F57" s="76">
        <v>101.6</v>
      </c>
      <c r="G57" s="76">
        <v>2983.0</v>
      </c>
      <c r="H57" s="76">
        <v>5409.0</v>
      </c>
      <c r="I57" s="76">
        <v>47474.0</v>
      </c>
      <c r="J57" s="76">
        <v>103.0</v>
      </c>
      <c r="K57" s="76">
        <v>8.8</v>
      </c>
      <c r="L57" s="76">
        <v>6.5</v>
      </c>
      <c r="M57" s="85" t="s">
        <v>162</v>
      </c>
      <c r="N57" s="20" t="s">
        <v>193</v>
      </c>
    </row>
    <row r="58" ht="12.75" customHeight="1">
      <c r="A58" s="86">
        <v>8.0</v>
      </c>
      <c r="B58" s="86" t="s">
        <v>52</v>
      </c>
      <c r="C58" s="86">
        <v>2.0</v>
      </c>
      <c r="D58" s="86">
        <v>2019.0</v>
      </c>
      <c r="E58" s="74">
        <v>6.2</v>
      </c>
      <c r="F58" s="74">
        <v>101.0</v>
      </c>
      <c r="G58" s="74">
        <v>3315.0</v>
      </c>
      <c r="H58" s="74">
        <v>5435.0</v>
      </c>
      <c r="I58" s="74">
        <v>51160.0</v>
      </c>
      <c r="J58" s="74">
        <v>99.3</v>
      </c>
      <c r="K58" s="74">
        <v>8.7</v>
      </c>
      <c r="L58" s="74">
        <v>6.4</v>
      </c>
      <c r="M58" s="74">
        <v>32.5</v>
      </c>
      <c r="N58" s="28" t="s">
        <v>193</v>
      </c>
    </row>
    <row r="59" ht="12.75" customHeight="1">
      <c r="A59" s="86">
        <v>8.0</v>
      </c>
      <c r="B59" s="86" t="s">
        <v>52</v>
      </c>
      <c r="C59" s="86">
        <v>2.0</v>
      </c>
      <c r="D59" s="86">
        <v>2020.0</v>
      </c>
      <c r="E59" s="76">
        <v>5.8</v>
      </c>
      <c r="F59" s="76">
        <v>89.9</v>
      </c>
      <c r="G59" s="76">
        <v>3138.6</v>
      </c>
      <c r="H59" s="76">
        <v>5490.0</v>
      </c>
      <c r="I59" s="76">
        <v>52939.0</v>
      </c>
      <c r="J59" s="76">
        <v>102.4</v>
      </c>
      <c r="K59" s="76">
        <v>3.4</v>
      </c>
      <c r="L59" s="76">
        <v>6.0</v>
      </c>
      <c r="M59" s="76">
        <v>37.4</v>
      </c>
      <c r="N59" s="20" t="s">
        <v>193</v>
      </c>
    </row>
    <row r="60" ht="12.75" customHeight="1">
      <c r="A60" s="86">
        <v>8.0</v>
      </c>
      <c r="B60" s="86" t="s">
        <v>52</v>
      </c>
      <c r="C60" s="86">
        <v>2.0</v>
      </c>
      <c r="D60" s="86">
        <v>2021.0</v>
      </c>
      <c r="E60" s="74">
        <v>5.6</v>
      </c>
      <c r="F60" s="74">
        <v>103.2</v>
      </c>
      <c r="G60" s="74">
        <v>3837.4</v>
      </c>
      <c r="H60" s="74">
        <v>5691.0</v>
      </c>
      <c r="I60" s="74">
        <v>58391.0</v>
      </c>
      <c r="J60" s="74">
        <v>100.0</v>
      </c>
      <c r="K60" s="74">
        <v>8.0</v>
      </c>
      <c r="L60" s="74">
        <v>6.0</v>
      </c>
      <c r="M60" s="74">
        <v>30.4</v>
      </c>
      <c r="N60" s="28" t="s">
        <v>193</v>
      </c>
    </row>
    <row r="61" ht="12.75" customHeight="1">
      <c r="A61" s="86">
        <v>8.0</v>
      </c>
      <c r="B61" s="86" t="s">
        <v>52</v>
      </c>
      <c r="C61" s="86">
        <v>2.0</v>
      </c>
      <c r="D61" s="86">
        <v>2022.0</v>
      </c>
      <c r="E61" s="76">
        <v>6.0</v>
      </c>
      <c r="F61" s="76">
        <v>98.0</v>
      </c>
      <c r="G61" s="76">
        <v>5152.9</v>
      </c>
      <c r="H61" s="76">
        <v>5805.0</v>
      </c>
      <c r="I61" s="76">
        <v>66926.0</v>
      </c>
      <c r="J61" s="76">
        <v>102.0</v>
      </c>
      <c r="K61" s="76">
        <v>10.7</v>
      </c>
      <c r="L61" s="76">
        <v>5.3</v>
      </c>
      <c r="M61" s="76">
        <v>32.1</v>
      </c>
      <c r="N61" s="20" t="s">
        <v>193</v>
      </c>
    </row>
    <row r="62" ht="12.75" customHeight="1">
      <c r="A62" s="86">
        <v>8.0</v>
      </c>
      <c r="B62" s="86" t="s">
        <v>52</v>
      </c>
      <c r="C62" s="86">
        <v>2.0</v>
      </c>
      <c r="D62" s="86">
        <v>2023.0</v>
      </c>
      <c r="E62" s="74">
        <v>6.0</v>
      </c>
      <c r="F62" s="74">
        <v>101.3</v>
      </c>
      <c r="G62" s="74">
        <v>6164.0</v>
      </c>
      <c r="H62" s="74">
        <v>5899.0</v>
      </c>
      <c r="I62" s="74">
        <v>76223.0</v>
      </c>
      <c r="J62" s="74">
        <v>100.4</v>
      </c>
      <c r="K62" s="74">
        <v>15.1</v>
      </c>
      <c r="L62" s="74">
        <v>7.0</v>
      </c>
      <c r="M62" s="74">
        <v>29.9</v>
      </c>
      <c r="N62" s="28" t="s">
        <v>193</v>
      </c>
    </row>
    <row r="63" ht="12.75" customHeight="1">
      <c r="A63" s="86">
        <v>8.0</v>
      </c>
      <c r="B63" s="86" t="s">
        <v>52</v>
      </c>
      <c r="C63" s="86">
        <v>2.0</v>
      </c>
      <c r="D63" s="86">
        <v>2024.0</v>
      </c>
      <c r="E63" s="76">
        <v>6.1</v>
      </c>
      <c r="F63" s="76">
        <v>100.3</v>
      </c>
      <c r="G63" s="76">
        <v>6859.7</v>
      </c>
      <c r="H63" s="85" t="s">
        <v>162</v>
      </c>
      <c r="I63" s="76">
        <v>90120.0</v>
      </c>
      <c r="J63" s="76">
        <v>100.2</v>
      </c>
      <c r="K63" s="76">
        <v>13.0</v>
      </c>
      <c r="L63" s="76">
        <v>6.0</v>
      </c>
      <c r="M63" s="76">
        <v>31.5</v>
      </c>
      <c r="N63" s="20" t="s">
        <v>193</v>
      </c>
    </row>
    <row r="64" ht="12.75" customHeight="1">
      <c r="A64" s="86">
        <v>9.0</v>
      </c>
      <c r="B64" s="86" t="s">
        <v>41</v>
      </c>
      <c r="C64" s="86">
        <v>2.0</v>
      </c>
      <c r="D64" s="86">
        <v>2015.0</v>
      </c>
      <c r="E64" s="74">
        <v>14.2</v>
      </c>
      <c r="F64" s="74">
        <v>93.0</v>
      </c>
      <c r="G64" s="74">
        <v>542.7</v>
      </c>
      <c r="H64" s="84" t="s">
        <v>162</v>
      </c>
      <c r="I64" s="74">
        <v>26947.0</v>
      </c>
      <c r="J64" s="74">
        <v>91.7</v>
      </c>
      <c r="K64" s="74">
        <v>7.1</v>
      </c>
      <c r="L64" s="74">
        <v>2.7</v>
      </c>
      <c r="M64" s="84" t="s">
        <v>162</v>
      </c>
      <c r="N64" s="28" t="s">
        <v>193</v>
      </c>
    </row>
    <row r="65" ht="12.75" customHeight="1">
      <c r="A65" s="86">
        <v>9.0</v>
      </c>
      <c r="B65" s="86" t="s">
        <v>41</v>
      </c>
      <c r="C65" s="86">
        <v>2.0</v>
      </c>
      <c r="D65" s="86">
        <v>2016.0</v>
      </c>
      <c r="E65" s="76">
        <v>13.2</v>
      </c>
      <c r="F65" s="76">
        <v>96.5</v>
      </c>
      <c r="G65" s="76">
        <v>637.0</v>
      </c>
      <c r="H65" s="85" t="s">
        <v>162</v>
      </c>
      <c r="I65" s="76">
        <v>30030.0</v>
      </c>
      <c r="J65" s="76">
        <v>98.6</v>
      </c>
      <c r="K65" s="76">
        <v>5.3</v>
      </c>
      <c r="L65" s="76">
        <v>2.8</v>
      </c>
      <c r="M65" s="85" t="s">
        <v>162</v>
      </c>
      <c r="N65" s="20" t="s">
        <v>193</v>
      </c>
    </row>
    <row r="66" ht="12.75" customHeight="1">
      <c r="A66" s="86">
        <v>9.0</v>
      </c>
      <c r="B66" s="86" t="s">
        <v>41</v>
      </c>
      <c r="C66" s="86">
        <v>2.0</v>
      </c>
      <c r="D66" s="86">
        <v>2017.0</v>
      </c>
      <c r="E66" s="74">
        <v>12.8</v>
      </c>
      <c r="F66" s="74">
        <v>100.4</v>
      </c>
      <c r="G66" s="74">
        <v>647.2</v>
      </c>
      <c r="H66" s="74">
        <v>13726.0</v>
      </c>
      <c r="I66" s="74">
        <v>32093.0</v>
      </c>
      <c r="J66" s="74">
        <v>103.8</v>
      </c>
      <c r="K66" s="74">
        <v>4.6</v>
      </c>
      <c r="L66" s="74">
        <v>3.2</v>
      </c>
      <c r="M66" s="84" t="s">
        <v>162</v>
      </c>
      <c r="N66" s="28" t="s">
        <v>193</v>
      </c>
    </row>
    <row r="67" ht="12.75" customHeight="1">
      <c r="A67" s="86">
        <v>9.0</v>
      </c>
      <c r="B67" s="86" t="s">
        <v>41</v>
      </c>
      <c r="C67" s="86">
        <v>2.0</v>
      </c>
      <c r="D67" s="86">
        <v>2018.0</v>
      </c>
      <c r="E67" s="76">
        <v>12.0</v>
      </c>
      <c r="F67" s="76">
        <v>101.7</v>
      </c>
      <c r="G67" s="76">
        <v>784.1</v>
      </c>
      <c r="H67" s="76">
        <v>13728.0</v>
      </c>
      <c r="I67" s="76">
        <v>35444.0</v>
      </c>
      <c r="J67" s="76">
        <v>103.9</v>
      </c>
      <c r="K67" s="76">
        <v>7.3</v>
      </c>
      <c r="L67" s="76">
        <v>2.9</v>
      </c>
      <c r="M67" s="85" t="s">
        <v>162</v>
      </c>
      <c r="N67" s="20" t="s">
        <v>193</v>
      </c>
    </row>
    <row r="68" ht="12.75" customHeight="1">
      <c r="A68" s="86">
        <v>9.0</v>
      </c>
      <c r="B68" s="86" t="s">
        <v>41</v>
      </c>
      <c r="C68" s="86">
        <v>2.0</v>
      </c>
      <c r="D68" s="86">
        <v>2019.0</v>
      </c>
      <c r="E68" s="74">
        <v>11.6</v>
      </c>
      <c r="F68" s="74">
        <v>93.2</v>
      </c>
      <c r="G68" s="74">
        <v>723.9</v>
      </c>
      <c r="H68" s="74">
        <v>13570.0</v>
      </c>
      <c r="I68" s="74">
        <v>40137.0</v>
      </c>
      <c r="J68" s="74">
        <v>101.5</v>
      </c>
      <c r="K68" s="74">
        <v>6.4</v>
      </c>
      <c r="L68" s="74">
        <v>2.8</v>
      </c>
      <c r="M68" s="74">
        <v>24.6</v>
      </c>
      <c r="N68" s="28" t="s">
        <v>193</v>
      </c>
    </row>
    <row r="69" ht="12.75" customHeight="1">
      <c r="A69" s="86">
        <v>9.0</v>
      </c>
      <c r="B69" s="86" t="s">
        <v>41</v>
      </c>
      <c r="C69" s="86">
        <v>2.0</v>
      </c>
      <c r="D69" s="86">
        <v>2020.0</v>
      </c>
      <c r="E69" s="76">
        <v>11.0</v>
      </c>
      <c r="F69" s="76">
        <v>96.1</v>
      </c>
      <c r="G69" s="76">
        <v>683.0</v>
      </c>
      <c r="H69" s="76">
        <v>13133.0</v>
      </c>
      <c r="I69" s="76">
        <v>41867.0</v>
      </c>
      <c r="J69" s="76">
        <v>96.7</v>
      </c>
      <c r="K69" s="76">
        <v>5.1</v>
      </c>
      <c r="L69" s="76">
        <v>3.0</v>
      </c>
      <c r="M69" s="76">
        <v>24.4</v>
      </c>
      <c r="N69" s="20" t="s">
        <v>193</v>
      </c>
    </row>
    <row r="70" ht="12.75" customHeight="1">
      <c r="A70" s="86">
        <v>9.0</v>
      </c>
      <c r="B70" s="86" t="s">
        <v>41</v>
      </c>
      <c r="C70" s="86">
        <v>2.0</v>
      </c>
      <c r="D70" s="86">
        <v>2021.0</v>
      </c>
      <c r="E70" s="74">
        <v>12.0</v>
      </c>
      <c r="F70" s="74">
        <v>101.1</v>
      </c>
      <c r="G70" s="74">
        <v>1003.6</v>
      </c>
      <c r="H70" s="74">
        <v>13357.0</v>
      </c>
      <c r="I70" s="74">
        <v>50389.0</v>
      </c>
      <c r="J70" s="74">
        <v>106.9</v>
      </c>
      <c r="K70" s="74">
        <v>8.8</v>
      </c>
      <c r="L70" s="74">
        <v>2.8</v>
      </c>
      <c r="M70" s="74">
        <v>19.9</v>
      </c>
      <c r="N70" s="28" t="s">
        <v>193</v>
      </c>
    </row>
    <row r="71" ht="12.75" customHeight="1">
      <c r="A71" s="86">
        <v>9.0</v>
      </c>
      <c r="B71" s="86" t="s">
        <v>41</v>
      </c>
      <c r="C71" s="86">
        <v>2.0</v>
      </c>
      <c r="D71" s="86">
        <v>2022.0</v>
      </c>
      <c r="E71" s="76">
        <v>12.6</v>
      </c>
      <c r="F71" s="76">
        <v>102.1</v>
      </c>
      <c r="G71" s="76">
        <v>1057.9</v>
      </c>
      <c r="H71" s="76">
        <v>13383.0</v>
      </c>
      <c r="I71" s="76">
        <v>57806.0</v>
      </c>
      <c r="J71" s="76">
        <v>95.0</v>
      </c>
      <c r="K71" s="76">
        <v>9.4</v>
      </c>
      <c r="L71" s="76">
        <v>3.7</v>
      </c>
      <c r="M71" s="76">
        <v>20.1</v>
      </c>
      <c r="N71" s="20" t="s">
        <v>193</v>
      </c>
    </row>
    <row r="72" ht="12.75" customHeight="1">
      <c r="A72" s="86">
        <v>9.0</v>
      </c>
      <c r="B72" s="86" t="s">
        <v>41</v>
      </c>
      <c r="C72" s="86">
        <v>2.0</v>
      </c>
      <c r="D72" s="86">
        <v>2023.0</v>
      </c>
      <c r="E72" s="74">
        <v>11.5</v>
      </c>
      <c r="F72" s="74">
        <v>101.4</v>
      </c>
      <c r="G72" s="74">
        <v>1199.3</v>
      </c>
      <c r="H72" s="74">
        <v>13391.0</v>
      </c>
      <c r="I72" s="74">
        <v>66226.0</v>
      </c>
      <c r="J72" s="74">
        <v>107.2</v>
      </c>
      <c r="K72" s="74">
        <v>5.6</v>
      </c>
      <c r="L72" s="74">
        <v>4.1</v>
      </c>
      <c r="M72" s="74">
        <v>21.3</v>
      </c>
      <c r="N72" s="28" t="s">
        <v>193</v>
      </c>
    </row>
    <row r="73" ht="12.75" customHeight="1">
      <c r="A73" s="86">
        <v>9.0</v>
      </c>
      <c r="B73" s="86" t="s">
        <v>41</v>
      </c>
      <c r="C73" s="86">
        <v>2.0</v>
      </c>
      <c r="D73" s="86">
        <v>2024.0</v>
      </c>
      <c r="E73" s="76">
        <v>10.9</v>
      </c>
      <c r="F73" s="76">
        <v>100.9</v>
      </c>
      <c r="G73" s="76">
        <v>1375.6</v>
      </c>
      <c r="H73" s="85" t="s">
        <v>162</v>
      </c>
      <c r="I73" s="76">
        <v>77184.0</v>
      </c>
      <c r="J73" s="76">
        <v>105.8</v>
      </c>
      <c r="K73" s="76">
        <v>4.9</v>
      </c>
      <c r="L73" s="76">
        <v>3.4</v>
      </c>
      <c r="M73" s="76">
        <v>21.5</v>
      </c>
      <c r="N73" s="20" t="s">
        <v>193</v>
      </c>
    </row>
    <row r="74" ht="12.75" customHeight="1">
      <c r="A74" s="86">
        <v>11.0</v>
      </c>
      <c r="B74" s="86" t="s">
        <v>40</v>
      </c>
      <c r="C74" s="86">
        <v>2.0</v>
      </c>
      <c r="D74" s="86">
        <v>2015.0</v>
      </c>
      <c r="E74" s="74">
        <v>3.11</v>
      </c>
      <c r="F74" s="74">
        <v>101.3</v>
      </c>
      <c r="G74" s="74">
        <v>13900.0</v>
      </c>
      <c r="H74" s="74">
        <v>4150.0</v>
      </c>
      <c r="I74" s="74">
        <v>29239.0</v>
      </c>
      <c r="J74" s="74">
        <v>98.6</v>
      </c>
      <c r="K74" s="74">
        <v>8.3</v>
      </c>
      <c r="L74" s="74">
        <v>2.06</v>
      </c>
      <c r="M74" s="74">
        <v>32.6</v>
      </c>
      <c r="N74" s="28" t="s">
        <v>194</v>
      </c>
    </row>
    <row r="75" ht="12.75" customHeight="1">
      <c r="A75" s="86">
        <v>11.0</v>
      </c>
      <c r="B75" s="86" t="s">
        <v>40</v>
      </c>
      <c r="C75" s="86">
        <v>2.0</v>
      </c>
      <c r="D75" s="86">
        <v>2016.0</v>
      </c>
      <c r="E75" s="76">
        <v>3.01</v>
      </c>
      <c r="F75" s="76">
        <v>102.1</v>
      </c>
      <c r="G75" s="76">
        <v>14750.0</v>
      </c>
      <c r="H75" s="76">
        <v>4150.0</v>
      </c>
      <c r="I75" s="76">
        <v>30876.0</v>
      </c>
      <c r="J75" s="76">
        <v>100.0</v>
      </c>
      <c r="K75" s="76">
        <v>8.4</v>
      </c>
      <c r="L75" s="76">
        <v>1.72</v>
      </c>
      <c r="M75" s="76">
        <v>26.0</v>
      </c>
      <c r="N75" s="20" t="s">
        <v>194</v>
      </c>
    </row>
    <row r="76" ht="12.75" customHeight="1">
      <c r="A76" s="86">
        <v>11.0</v>
      </c>
      <c r="B76" s="86" t="s">
        <v>40</v>
      </c>
      <c r="C76" s="86">
        <v>2.0</v>
      </c>
      <c r="D76" s="86">
        <v>2017.0</v>
      </c>
      <c r="E76" s="74">
        <v>3.06</v>
      </c>
      <c r="F76" s="74">
        <v>102.4</v>
      </c>
      <c r="G76" s="74">
        <v>16030.0</v>
      </c>
      <c r="H76" s="74">
        <v>4150.0</v>
      </c>
      <c r="I76" s="74">
        <v>32965.0</v>
      </c>
      <c r="J76" s="74">
        <v>102.0</v>
      </c>
      <c r="K76" s="74">
        <v>9.1</v>
      </c>
      <c r="L76" s="74">
        <v>1.47</v>
      </c>
      <c r="M76" s="74">
        <v>31.9</v>
      </c>
      <c r="N76" s="28" t="s">
        <v>194</v>
      </c>
    </row>
    <row r="77" ht="12.75" customHeight="1">
      <c r="A77" s="86">
        <v>11.0</v>
      </c>
      <c r="B77" s="86" t="s">
        <v>40</v>
      </c>
      <c r="C77" s="86">
        <v>2.0</v>
      </c>
      <c r="D77" s="86">
        <v>2018.0</v>
      </c>
      <c r="E77" s="76">
        <v>3.18</v>
      </c>
      <c r="F77" s="76">
        <v>102.8</v>
      </c>
      <c r="G77" s="76">
        <v>17780.0</v>
      </c>
      <c r="H77" s="76">
        <v>4200.0</v>
      </c>
      <c r="I77" s="76">
        <v>41384.0</v>
      </c>
      <c r="J77" s="76">
        <v>103.0</v>
      </c>
      <c r="K77" s="76">
        <v>9.1</v>
      </c>
      <c r="L77" s="76">
        <v>1.16</v>
      </c>
      <c r="M77" s="76">
        <v>27.4</v>
      </c>
      <c r="N77" s="20" t="s">
        <v>194</v>
      </c>
    </row>
    <row r="78" ht="12.75" customHeight="1">
      <c r="A78" s="86">
        <v>11.0</v>
      </c>
      <c r="B78" s="86" t="s">
        <v>40</v>
      </c>
      <c r="C78" s="86">
        <v>2.0</v>
      </c>
      <c r="D78" s="86">
        <v>2019.0</v>
      </c>
      <c r="E78" s="74">
        <v>3.45</v>
      </c>
      <c r="F78" s="74">
        <v>103.2</v>
      </c>
      <c r="G78" s="74">
        <v>19330.0</v>
      </c>
      <c r="H78" s="74">
        <v>4180.0</v>
      </c>
      <c r="I78" s="74">
        <v>44586.0</v>
      </c>
      <c r="J78" s="74">
        <v>102.4</v>
      </c>
      <c r="K78" s="74">
        <v>9.5</v>
      </c>
      <c r="L78" s="74">
        <v>0.81</v>
      </c>
      <c r="M78" s="74">
        <v>28.4</v>
      </c>
      <c r="N78" s="28" t="s">
        <v>194</v>
      </c>
    </row>
    <row r="79" ht="12.75" customHeight="1">
      <c r="A79" s="86">
        <v>11.0</v>
      </c>
      <c r="B79" s="86" t="s">
        <v>40</v>
      </c>
      <c r="C79" s="86">
        <v>2.0</v>
      </c>
      <c r="D79" s="86">
        <v>2020.0</v>
      </c>
      <c r="E79" s="76">
        <v>5.92</v>
      </c>
      <c r="F79" s="76">
        <v>104.5</v>
      </c>
      <c r="G79" s="76">
        <v>20390.0</v>
      </c>
      <c r="H79" s="76">
        <v>4180.0</v>
      </c>
      <c r="I79" s="76">
        <v>51266.0</v>
      </c>
      <c r="J79" s="76">
        <v>99.5</v>
      </c>
      <c r="K79" s="76">
        <v>9.5</v>
      </c>
      <c r="L79" s="76">
        <v>1.03</v>
      </c>
      <c r="M79" s="76">
        <v>35.2</v>
      </c>
      <c r="N79" s="20" t="s">
        <v>194</v>
      </c>
    </row>
    <row r="80" ht="12.75" customHeight="1">
      <c r="A80" s="86">
        <v>11.0</v>
      </c>
      <c r="B80" s="86" t="s">
        <v>40</v>
      </c>
      <c r="C80" s="86">
        <v>2.0</v>
      </c>
      <c r="D80" s="86">
        <v>2021.0</v>
      </c>
      <c r="E80" s="74">
        <v>4.85</v>
      </c>
      <c r="F80" s="74">
        <v>105.8</v>
      </c>
      <c r="G80" s="74">
        <v>23240.0</v>
      </c>
      <c r="H80" s="74">
        <v>4190.0</v>
      </c>
      <c r="I80" s="74">
        <v>52535.0</v>
      </c>
      <c r="J80" s="74">
        <v>103.9</v>
      </c>
      <c r="K80" s="74">
        <v>10.8</v>
      </c>
      <c r="L80" s="74">
        <v>1.1</v>
      </c>
      <c r="M80" s="74">
        <v>31.0</v>
      </c>
      <c r="N80" s="28" t="s">
        <v>194</v>
      </c>
    </row>
    <row r="81" ht="12.75" customHeight="1">
      <c r="A81" s="86">
        <v>11.0</v>
      </c>
      <c r="B81" s="86" t="s">
        <v>40</v>
      </c>
      <c r="C81" s="86">
        <v>2.0</v>
      </c>
      <c r="D81" s="86">
        <v>2022.0</v>
      </c>
      <c r="E81" s="76">
        <v>4.89</v>
      </c>
      <c r="F81" s="76">
        <v>98.4</v>
      </c>
      <c r="G81" s="76">
        <v>28410.0</v>
      </c>
      <c r="H81" s="76">
        <v>4136.2</v>
      </c>
      <c r="I81" s="76">
        <v>57460.0</v>
      </c>
      <c r="J81" s="76">
        <v>97.1</v>
      </c>
      <c r="K81" s="76">
        <v>10.0</v>
      </c>
      <c r="L81" s="76">
        <v>1.2</v>
      </c>
      <c r="M81" s="76">
        <v>32.8</v>
      </c>
      <c r="N81" s="87" t="s">
        <v>195</v>
      </c>
    </row>
    <row r="82" ht="12.75" customHeight="1">
      <c r="A82" s="86">
        <v>11.0</v>
      </c>
      <c r="B82" s="86" t="s">
        <v>40</v>
      </c>
      <c r="C82" s="86">
        <v>2.0</v>
      </c>
      <c r="D82" s="86">
        <v>2023.0</v>
      </c>
      <c r="E82" s="74">
        <v>3.5</v>
      </c>
      <c r="F82" s="74">
        <v>101.2</v>
      </c>
      <c r="G82" s="74">
        <v>34040.0</v>
      </c>
      <c r="H82" s="74">
        <v>4095.3</v>
      </c>
      <c r="I82" s="74">
        <v>63880.0</v>
      </c>
      <c r="J82" s="74">
        <v>102.4</v>
      </c>
      <c r="K82" s="74">
        <v>10.8</v>
      </c>
      <c r="L82" s="74">
        <v>1.08</v>
      </c>
      <c r="M82" s="74">
        <v>24.7</v>
      </c>
      <c r="N82" s="28" t="s">
        <v>196</v>
      </c>
    </row>
    <row r="83" ht="12.75" customHeight="1">
      <c r="A83" s="86">
        <v>11.0</v>
      </c>
      <c r="B83" s="86" t="s">
        <v>40</v>
      </c>
      <c r="C83" s="86">
        <v>2.0</v>
      </c>
      <c r="D83" s="86">
        <v>2024.0</v>
      </c>
      <c r="E83" s="76">
        <v>3.5</v>
      </c>
      <c r="F83" s="76">
        <v>102.6</v>
      </c>
      <c r="G83" s="76">
        <v>39920.0</v>
      </c>
      <c r="H83" s="76">
        <v>4093.8</v>
      </c>
      <c r="I83" s="76">
        <v>74585.0</v>
      </c>
      <c r="J83" s="76">
        <v>103.4</v>
      </c>
      <c r="K83" s="76">
        <v>10.8</v>
      </c>
      <c r="L83" s="76">
        <v>0.74</v>
      </c>
      <c r="M83" s="76">
        <v>25.5</v>
      </c>
      <c r="N83" s="20" t="s">
        <v>196</v>
      </c>
    </row>
    <row r="84" ht="12.75" customHeight="1">
      <c r="A84" s="86">
        <v>12.0</v>
      </c>
      <c r="B84" s="86" t="s">
        <v>55</v>
      </c>
      <c r="C84" s="86">
        <v>2.0</v>
      </c>
      <c r="D84" s="86">
        <v>2015.0</v>
      </c>
      <c r="E84" s="74">
        <v>3.83</v>
      </c>
      <c r="F84" s="74">
        <v>99.1</v>
      </c>
      <c r="G84" s="74">
        <v>241.0</v>
      </c>
      <c r="H84" s="74">
        <v>5683.0</v>
      </c>
      <c r="I84" s="74">
        <v>26920.0</v>
      </c>
      <c r="J84" s="74">
        <v>98.4</v>
      </c>
      <c r="K84" s="74">
        <v>6.9</v>
      </c>
      <c r="L84" s="74">
        <v>5.9</v>
      </c>
      <c r="M84" s="74">
        <v>26.1</v>
      </c>
      <c r="N84" s="28" t="s">
        <v>197</v>
      </c>
    </row>
    <row r="85" ht="12.75" customHeight="1">
      <c r="A85" s="86">
        <v>12.0</v>
      </c>
      <c r="B85" s="86" t="s">
        <v>55</v>
      </c>
      <c r="C85" s="86">
        <v>2.0</v>
      </c>
      <c r="D85" s="86">
        <v>2016.0</v>
      </c>
      <c r="E85" s="76">
        <v>3.76</v>
      </c>
      <c r="F85" s="76">
        <v>99.4</v>
      </c>
      <c r="G85" s="76">
        <v>210.5</v>
      </c>
      <c r="H85" s="76">
        <v>5655.0</v>
      </c>
      <c r="I85" s="76">
        <v>28088.0</v>
      </c>
      <c r="J85" s="76">
        <v>99.1</v>
      </c>
      <c r="K85" s="76">
        <v>7.2</v>
      </c>
      <c r="L85" s="76">
        <v>5.5</v>
      </c>
      <c r="M85" s="76">
        <v>27.4</v>
      </c>
      <c r="N85" s="20" t="s">
        <v>197</v>
      </c>
    </row>
    <row r="86" ht="12.75" customHeight="1">
      <c r="A86" s="86">
        <v>12.0</v>
      </c>
      <c r="B86" s="86" t="s">
        <v>55</v>
      </c>
      <c r="C86" s="86">
        <v>2.0</v>
      </c>
      <c r="D86" s="86">
        <v>2017.0</v>
      </c>
      <c r="E86" s="74">
        <v>4.69</v>
      </c>
      <c r="F86" s="74">
        <v>100.5</v>
      </c>
      <c r="G86" s="74">
        <v>225.3</v>
      </c>
      <c r="H86" s="74">
        <v>5660.0</v>
      </c>
      <c r="I86" s="74">
        <v>30258.0</v>
      </c>
      <c r="J86" s="74">
        <v>100.5</v>
      </c>
      <c r="K86" s="74">
        <v>6.6</v>
      </c>
      <c r="L86" s="74">
        <v>5.2</v>
      </c>
      <c r="M86" s="74">
        <v>28.3</v>
      </c>
      <c r="N86" s="28" t="s">
        <v>197</v>
      </c>
    </row>
    <row r="87" ht="12.75" customHeight="1">
      <c r="A87" s="86">
        <v>12.0</v>
      </c>
      <c r="B87" s="86" t="s">
        <v>55</v>
      </c>
      <c r="C87" s="86">
        <v>2.0</v>
      </c>
      <c r="D87" s="86">
        <v>2018.0</v>
      </c>
      <c r="E87" s="76">
        <v>4.68</v>
      </c>
      <c r="F87" s="76">
        <v>100.9</v>
      </c>
      <c r="G87" s="76">
        <v>268.8</v>
      </c>
      <c r="H87" s="76">
        <v>5675.0</v>
      </c>
      <c r="I87" s="76">
        <v>34361.0</v>
      </c>
      <c r="J87" s="76">
        <v>101.2</v>
      </c>
      <c r="K87" s="76">
        <v>6.7</v>
      </c>
      <c r="L87" s="76">
        <v>5.2</v>
      </c>
      <c r="M87" s="76">
        <v>29.0</v>
      </c>
      <c r="N87" s="20" t="s">
        <v>197</v>
      </c>
    </row>
    <row r="88" ht="12.75" customHeight="1">
      <c r="A88" s="86">
        <v>12.0</v>
      </c>
      <c r="B88" s="86" t="s">
        <v>55</v>
      </c>
      <c r="C88" s="86">
        <v>2.0</v>
      </c>
      <c r="D88" s="86">
        <v>2019.0</v>
      </c>
      <c r="E88" s="74">
        <v>3.7</v>
      </c>
      <c r="F88" s="74">
        <v>101.3</v>
      </c>
      <c r="G88" s="74">
        <v>383.2</v>
      </c>
      <c r="H88" s="74">
        <v>5678.0</v>
      </c>
      <c r="I88" s="74">
        <v>37071.0</v>
      </c>
      <c r="J88" s="74">
        <v>100.8</v>
      </c>
      <c r="K88" s="74">
        <v>7.1</v>
      </c>
      <c r="L88" s="74">
        <v>5.8</v>
      </c>
      <c r="M88" s="74">
        <v>31.1</v>
      </c>
      <c r="N88" s="28" t="s">
        <v>197</v>
      </c>
    </row>
    <row r="89" ht="12.75" customHeight="1">
      <c r="A89" s="86">
        <v>12.0</v>
      </c>
      <c r="B89" s="86" t="s">
        <v>55</v>
      </c>
      <c r="C89" s="86">
        <v>2.0</v>
      </c>
      <c r="D89" s="86">
        <v>2020.0</v>
      </c>
      <c r="E89" s="76">
        <v>4.02</v>
      </c>
      <c r="F89" s="76">
        <v>98.6</v>
      </c>
      <c r="G89" s="76">
        <v>457.0</v>
      </c>
      <c r="H89" s="76">
        <v>5651.0</v>
      </c>
      <c r="I89" s="76">
        <v>39483.0</v>
      </c>
      <c r="J89" s="76">
        <v>98.7</v>
      </c>
      <c r="K89" s="76">
        <v>7.0</v>
      </c>
      <c r="L89" s="76">
        <v>5.5</v>
      </c>
      <c r="M89" s="76">
        <v>35.2</v>
      </c>
      <c r="N89" s="20" t="s">
        <v>197</v>
      </c>
    </row>
    <row r="90" ht="12.75" customHeight="1">
      <c r="A90" s="86">
        <v>12.0</v>
      </c>
      <c r="B90" s="86" t="s">
        <v>55</v>
      </c>
      <c r="C90" s="86">
        <v>2.0</v>
      </c>
      <c r="D90" s="86">
        <v>2021.0</v>
      </c>
      <c r="E90" s="74">
        <v>3.99</v>
      </c>
      <c r="F90" s="74">
        <v>101.8</v>
      </c>
      <c r="G90" s="74">
        <v>480.4</v>
      </c>
      <c r="H90" s="74">
        <v>5645.0</v>
      </c>
      <c r="I90" s="74">
        <v>43391.0</v>
      </c>
      <c r="J90" s="74">
        <v>102.1</v>
      </c>
      <c r="K90" s="74">
        <v>6.6</v>
      </c>
      <c r="L90" s="74">
        <v>5.3</v>
      </c>
      <c r="M90" s="74">
        <v>29.5</v>
      </c>
      <c r="N90" s="28" t="s">
        <v>197</v>
      </c>
    </row>
    <row r="91" ht="12.75" customHeight="1">
      <c r="A91" s="86">
        <v>12.0</v>
      </c>
      <c r="B91" s="86" t="s">
        <v>55</v>
      </c>
      <c r="C91" s="86">
        <v>2.0</v>
      </c>
      <c r="D91" s="86">
        <v>2022.0</v>
      </c>
      <c r="E91" s="76">
        <v>4.05</v>
      </c>
      <c r="F91" s="76">
        <v>100.4</v>
      </c>
      <c r="G91" s="76">
        <v>578.9</v>
      </c>
      <c r="H91" s="76">
        <v>5664.0</v>
      </c>
      <c r="I91" s="76">
        <v>48400.0</v>
      </c>
      <c r="J91" s="76">
        <v>98.7</v>
      </c>
      <c r="K91" s="76">
        <v>6.2</v>
      </c>
      <c r="L91" s="76">
        <v>5.2</v>
      </c>
      <c r="M91" s="76">
        <v>27.4</v>
      </c>
      <c r="N91" s="20" t="s">
        <v>197</v>
      </c>
    </row>
    <row r="92" ht="12.75" customHeight="1">
      <c r="A92" s="86">
        <v>12.0</v>
      </c>
      <c r="B92" s="86" t="s">
        <v>55</v>
      </c>
      <c r="C92" s="86">
        <v>2.0</v>
      </c>
      <c r="D92" s="86">
        <v>2023.0</v>
      </c>
      <c r="E92" s="74">
        <v>4.16</v>
      </c>
      <c r="F92" s="74">
        <v>101.1</v>
      </c>
      <c r="G92" s="74">
        <v>691.0</v>
      </c>
      <c r="H92" s="74">
        <v>5690.0</v>
      </c>
      <c r="I92" s="74">
        <v>54263.0</v>
      </c>
      <c r="J92" s="74">
        <v>100.4</v>
      </c>
      <c r="K92" s="74">
        <v>7.7</v>
      </c>
      <c r="L92" s="74">
        <v>4.8</v>
      </c>
      <c r="M92" s="74">
        <v>25.0</v>
      </c>
      <c r="N92" s="28" t="s">
        <v>197</v>
      </c>
    </row>
    <row r="93" ht="12.75" customHeight="1">
      <c r="A93" s="86">
        <v>12.0</v>
      </c>
      <c r="B93" s="86" t="s">
        <v>55</v>
      </c>
      <c r="C93" s="86">
        <v>2.0</v>
      </c>
      <c r="D93" s="86">
        <v>2024.0</v>
      </c>
      <c r="E93" s="76">
        <v>4.16</v>
      </c>
      <c r="F93" s="76">
        <v>101.5</v>
      </c>
      <c r="G93" s="76">
        <v>772.4</v>
      </c>
      <c r="H93" s="76">
        <v>5710.0</v>
      </c>
      <c r="I93" s="76">
        <v>62913.0</v>
      </c>
      <c r="J93" s="76">
        <v>100.9</v>
      </c>
      <c r="K93" s="76">
        <v>7.1</v>
      </c>
      <c r="L93" s="76">
        <v>4.4</v>
      </c>
      <c r="M93" s="76">
        <v>25.5</v>
      </c>
      <c r="N93" s="20" t="s">
        <v>197</v>
      </c>
    </row>
    <row r="94" ht="12.75" customHeight="1">
      <c r="A94" s="88">
        <v>13.0</v>
      </c>
      <c r="B94" s="88" t="s">
        <v>58</v>
      </c>
      <c r="C94" s="88">
        <v>3.0</v>
      </c>
      <c r="D94" s="88">
        <v>2015.0</v>
      </c>
      <c r="E94" s="74">
        <v>2.81</v>
      </c>
      <c r="F94" s="74">
        <v>97.0</v>
      </c>
      <c r="G94" s="74">
        <v>380.9</v>
      </c>
      <c r="H94" s="74">
        <v>1160.0</v>
      </c>
      <c r="I94" s="74">
        <v>67433.0</v>
      </c>
      <c r="J94" s="74">
        <v>106.3</v>
      </c>
      <c r="K94" s="74">
        <v>14.4</v>
      </c>
      <c r="L94" s="74">
        <v>14.3</v>
      </c>
      <c r="M94" s="74">
        <v>23.8</v>
      </c>
      <c r="N94" s="28" t="s">
        <v>198</v>
      </c>
    </row>
    <row r="95" ht="12.75" customHeight="1">
      <c r="A95" s="88">
        <v>13.0</v>
      </c>
      <c r="B95" s="88" t="s">
        <v>58</v>
      </c>
      <c r="C95" s="88">
        <v>3.0</v>
      </c>
      <c r="D95" s="88">
        <v>2016.0</v>
      </c>
      <c r="E95" s="76">
        <v>2.82</v>
      </c>
      <c r="F95" s="76">
        <v>96.4</v>
      </c>
      <c r="G95" s="76">
        <v>410.5</v>
      </c>
      <c r="H95" s="76">
        <v>1175.0</v>
      </c>
      <c r="I95" s="76">
        <v>74135.0</v>
      </c>
      <c r="J95" s="76">
        <v>103.3</v>
      </c>
      <c r="K95" s="76">
        <v>13.7</v>
      </c>
      <c r="L95" s="76">
        <v>16.1</v>
      </c>
      <c r="M95" s="76">
        <v>25.4</v>
      </c>
      <c r="N95" s="20" t="s">
        <v>198</v>
      </c>
    </row>
    <row r="96" ht="12.75" customHeight="1">
      <c r="A96" s="88">
        <v>13.0</v>
      </c>
      <c r="B96" s="88" t="s">
        <v>58</v>
      </c>
      <c r="C96" s="88">
        <v>3.0</v>
      </c>
      <c r="D96" s="88">
        <v>2017.0</v>
      </c>
      <c r="E96" s="74">
        <v>2.87</v>
      </c>
      <c r="F96" s="74">
        <v>96.5</v>
      </c>
      <c r="G96" s="74">
        <v>478.4</v>
      </c>
      <c r="H96" s="74">
        <v>1190.0</v>
      </c>
      <c r="I96" s="74">
        <v>80435.0</v>
      </c>
      <c r="J96" s="74">
        <v>99.5</v>
      </c>
      <c r="K96" s="74">
        <v>13.4</v>
      </c>
      <c r="L96" s="74">
        <v>15.4</v>
      </c>
      <c r="M96" s="74">
        <v>26.4</v>
      </c>
      <c r="N96" s="28" t="s">
        <v>198</v>
      </c>
    </row>
    <row r="97" ht="12.75" customHeight="1">
      <c r="A97" s="88">
        <v>13.0</v>
      </c>
      <c r="B97" s="88" t="s">
        <v>58</v>
      </c>
      <c r="C97" s="88">
        <v>3.0</v>
      </c>
      <c r="D97" s="88">
        <v>2018.0</v>
      </c>
      <c r="E97" s="76">
        <v>2.75</v>
      </c>
      <c r="F97" s="76">
        <v>85.4</v>
      </c>
      <c r="G97" s="76">
        <v>626.6</v>
      </c>
      <c r="H97" s="76">
        <v>1124.0</v>
      </c>
      <c r="I97" s="76">
        <v>88518.0</v>
      </c>
      <c r="J97" s="76">
        <v>100.4</v>
      </c>
      <c r="K97" s="76">
        <v>14.5</v>
      </c>
      <c r="L97" s="76">
        <v>15.2</v>
      </c>
      <c r="M97" s="76">
        <v>25.1</v>
      </c>
      <c r="N97" s="20" t="s">
        <v>198</v>
      </c>
    </row>
    <row r="98" ht="12.75" customHeight="1">
      <c r="A98" s="88">
        <v>13.0</v>
      </c>
      <c r="B98" s="88" t="s">
        <v>58</v>
      </c>
      <c r="C98" s="88">
        <v>3.0</v>
      </c>
      <c r="D98" s="88">
        <v>2019.0</v>
      </c>
      <c r="E98" s="74">
        <v>2.81</v>
      </c>
      <c r="F98" s="74">
        <v>85.6</v>
      </c>
      <c r="G98" s="74">
        <v>769.7</v>
      </c>
      <c r="H98" s="74">
        <v>1245.0</v>
      </c>
      <c r="I98" s="74">
        <v>99746.0</v>
      </c>
      <c r="J98" s="74">
        <v>93.4</v>
      </c>
      <c r="K98" s="74">
        <v>13.5</v>
      </c>
      <c r="L98" s="74">
        <v>14.3</v>
      </c>
      <c r="M98" s="74">
        <v>23.0</v>
      </c>
      <c r="N98" s="28" t="s">
        <v>198</v>
      </c>
    </row>
    <row r="99" ht="12.75" customHeight="1">
      <c r="A99" s="88">
        <v>13.0</v>
      </c>
      <c r="B99" s="88" t="s">
        <v>58</v>
      </c>
      <c r="C99" s="88">
        <v>3.0</v>
      </c>
      <c r="D99" s="88">
        <v>2020.0</v>
      </c>
      <c r="E99" s="76">
        <v>3.1</v>
      </c>
      <c r="F99" s="76">
        <v>83.5</v>
      </c>
      <c r="G99" s="76">
        <v>869.4</v>
      </c>
      <c r="H99" s="76">
        <v>1250.0</v>
      </c>
      <c r="I99" s="76">
        <v>114411.0</v>
      </c>
      <c r="J99" s="76">
        <v>101.7</v>
      </c>
      <c r="K99" s="76">
        <v>13.6</v>
      </c>
      <c r="L99" s="76">
        <v>13.2</v>
      </c>
      <c r="M99" s="76">
        <v>26.7</v>
      </c>
      <c r="N99" s="20" t="s">
        <v>198</v>
      </c>
    </row>
    <row r="100" ht="12.75" customHeight="1">
      <c r="A100" s="88">
        <v>13.0</v>
      </c>
      <c r="B100" s="88" t="s">
        <v>58</v>
      </c>
      <c r="C100" s="88">
        <v>3.0</v>
      </c>
      <c r="D100" s="88">
        <v>2021.0</v>
      </c>
      <c r="E100" s="74">
        <v>3.2</v>
      </c>
      <c r="F100" s="74">
        <v>82.3</v>
      </c>
      <c r="G100" s="74">
        <v>1013.7</v>
      </c>
      <c r="H100" s="74">
        <v>1276.0</v>
      </c>
      <c r="I100" s="74">
        <v>131927.0</v>
      </c>
      <c r="J100" s="74">
        <v>103.3</v>
      </c>
      <c r="K100" s="74">
        <v>16.4</v>
      </c>
      <c r="L100" s="74">
        <v>15.3</v>
      </c>
      <c r="M100" s="74">
        <v>22.9</v>
      </c>
      <c r="N100" s="28" t="s">
        <v>198</v>
      </c>
    </row>
    <row r="101" ht="12.75" customHeight="1">
      <c r="A101" s="88">
        <v>13.0</v>
      </c>
      <c r="B101" s="88" t="s">
        <v>58</v>
      </c>
      <c r="C101" s="88">
        <v>3.0</v>
      </c>
      <c r="D101" s="88">
        <v>2022.0</v>
      </c>
      <c r="E101" s="76">
        <v>3.1</v>
      </c>
      <c r="F101" s="76">
        <v>80.4</v>
      </c>
      <c r="G101" s="76">
        <v>1375.3</v>
      </c>
      <c r="H101" s="76">
        <v>1330.0</v>
      </c>
      <c r="I101" s="76">
        <v>147626.0</v>
      </c>
      <c r="J101" s="76">
        <v>105.9</v>
      </c>
      <c r="K101" s="76">
        <v>17.2</v>
      </c>
      <c r="L101" s="76">
        <v>14.8</v>
      </c>
      <c r="M101" s="76">
        <v>24.1</v>
      </c>
      <c r="N101" s="20" t="s">
        <v>198</v>
      </c>
    </row>
    <row r="102" ht="12.75" customHeight="1">
      <c r="A102" s="88">
        <v>13.0</v>
      </c>
      <c r="B102" s="88" t="s">
        <v>58</v>
      </c>
      <c r="C102" s="88">
        <v>3.0</v>
      </c>
      <c r="D102" s="88">
        <v>2023.0</v>
      </c>
      <c r="E102" s="74">
        <v>3.5</v>
      </c>
      <c r="F102" s="74">
        <v>63.5</v>
      </c>
      <c r="G102" s="74">
        <v>1751.4</v>
      </c>
      <c r="H102" s="74">
        <v>1415.0</v>
      </c>
      <c r="I102" s="74">
        <v>155900.0</v>
      </c>
      <c r="J102" s="74">
        <v>101.6</v>
      </c>
      <c r="K102" s="74">
        <v>12.3</v>
      </c>
      <c r="L102" s="74">
        <v>14.1</v>
      </c>
      <c r="M102" s="74">
        <v>28.3</v>
      </c>
      <c r="N102" s="28" t="s">
        <v>198</v>
      </c>
    </row>
    <row r="103" ht="12.75" customHeight="1">
      <c r="A103" s="88">
        <v>13.0</v>
      </c>
      <c r="B103" s="88" t="s">
        <v>58</v>
      </c>
      <c r="C103" s="88">
        <v>3.0</v>
      </c>
      <c r="D103" s="88">
        <v>2024.0</v>
      </c>
      <c r="E103" s="76">
        <v>3.9</v>
      </c>
      <c r="F103" s="76">
        <v>63.1</v>
      </c>
      <c r="G103" s="76">
        <v>1500.0</v>
      </c>
      <c r="H103" s="76">
        <v>1540.0</v>
      </c>
      <c r="I103" s="76">
        <v>163531.0</v>
      </c>
      <c r="J103" s="76">
        <v>107.8</v>
      </c>
      <c r="K103" s="76">
        <v>15.4</v>
      </c>
      <c r="L103" s="76">
        <v>14.5</v>
      </c>
      <c r="M103" s="76">
        <v>28.0</v>
      </c>
      <c r="N103" s="20" t="s">
        <v>198</v>
      </c>
    </row>
    <row r="104" ht="12.75" customHeight="1">
      <c r="A104" s="88">
        <v>14.0</v>
      </c>
      <c r="B104" s="88" t="s">
        <v>32</v>
      </c>
      <c r="C104" s="88">
        <v>3.0</v>
      </c>
      <c r="D104" s="88">
        <v>2015.0</v>
      </c>
      <c r="E104" s="74">
        <v>4.0</v>
      </c>
      <c r="F104" s="74">
        <v>94.8</v>
      </c>
      <c r="G104" s="74">
        <v>172.1</v>
      </c>
      <c r="H104" s="74">
        <v>1346.0</v>
      </c>
      <c r="I104" s="74">
        <v>70088.0</v>
      </c>
      <c r="J104" s="74">
        <v>104.1</v>
      </c>
      <c r="K104" s="84" t="s">
        <v>162</v>
      </c>
      <c r="L104" s="74">
        <v>0.5</v>
      </c>
      <c r="M104" s="74">
        <v>37.3</v>
      </c>
      <c r="N104" s="28" t="s">
        <v>199</v>
      </c>
    </row>
    <row r="105" ht="12.75" customHeight="1">
      <c r="A105" s="88">
        <v>14.0</v>
      </c>
      <c r="B105" s="88" t="s">
        <v>32</v>
      </c>
      <c r="C105" s="88">
        <v>3.0</v>
      </c>
      <c r="D105" s="88">
        <v>2016.0</v>
      </c>
      <c r="E105" s="76">
        <v>4.2</v>
      </c>
      <c r="F105" s="76">
        <v>102.9</v>
      </c>
      <c r="G105" s="76">
        <v>156.0</v>
      </c>
      <c r="H105" s="76">
        <v>1332.0</v>
      </c>
      <c r="I105" s="76">
        <v>80289.0</v>
      </c>
      <c r="J105" s="76">
        <v>101.8</v>
      </c>
      <c r="K105" s="85" t="s">
        <v>162</v>
      </c>
      <c r="L105" s="76">
        <v>0.5</v>
      </c>
      <c r="M105" s="76">
        <v>33.8</v>
      </c>
      <c r="N105" s="20" t="s">
        <v>199</v>
      </c>
    </row>
    <row r="106" ht="12.75" customHeight="1">
      <c r="A106" s="88">
        <v>14.0</v>
      </c>
      <c r="B106" s="88" t="s">
        <v>32</v>
      </c>
      <c r="C106" s="88">
        <v>3.0</v>
      </c>
      <c r="D106" s="88">
        <v>2017.0</v>
      </c>
      <c r="E106" s="74">
        <v>4.1</v>
      </c>
      <c r="F106" s="74">
        <v>103.4</v>
      </c>
      <c r="G106" s="74">
        <v>163.3</v>
      </c>
      <c r="H106" s="74">
        <v>1329.0</v>
      </c>
      <c r="I106" s="74">
        <v>84904.0</v>
      </c>
      <c r="J106" s="74">
        <v>105.2</v>
      </c>
      <c r="K106" s="74">
        <v>0.4</v>
      </c>
      <c r="L106" s="74">
        <v>0.4</v>
      </c>
      <c r="M106" s="74">
        <v>24.7</v>
      </c>
      <c r="N106" s="28" t="s">
        <v>199</v>
      </c>
    </row>
    <row r="107" ht="12.75" customHeight="1">
      <c r="A107" s="88">
        <v>14.0</v>
      </c>
      <c r="B107" s="88" t="s">
        <v>32</v>
      </c>
      <c r="C107" s="88">
        <v>3.0</v>
      </c>
      <c r="D107" s="88">
        <v>2018.0</v>
      </c>
      <c r="E107" s="76">
        <v>3.9</v>
      </c>
      <c r="F107" s="76">
        <v>106.1</v>
      </c>
      <c r="G107" s="76">
        <v>233.4</v>
      </c>
      <c r="H107" s="76">
        <v>1327.0</v>
      </c>
      <c r="I107" s="76">
        <v>91070.0</v>
      </c>
      <c r="J107" s="76">
        <v>104.8</v>
      </c>
      <c r="K107" s="85" t="s">
        <v>162</v>
      </c>
      <c r="L107" s="76">
        <v>26.9</v>
      </c>
      <c r="M107" s="76">
        <v>24.6</v>
      </c>
      <c r="N107" s="20" t="s">
        <v>199</v>
      </c>
    </row>
    <row r="108" ht="12.75" customHeight="1">
      <c r="A108" s="88">
        <v>14.0</v>
      </c>
      <c r="B108" s="88" t="s">
        <v>32</v>
      </c>
      <c r="C108" s="88">
        <v>3.0</v>
      </c>
      <c r="D108" s="88">
        <v>2019.0</v>
      </c>
      <c r="E108" s="74">
        <v>3.8</v>
      </c>
      <c r="F108" s="74">
        <v>101.3</v>
      </c>
      <c r="G108" s="74">
        <v>291.0</v>
      </c>
      <c r="H108" s="74">
        <v>1319.0</v>
      </c>
      <c r="I108" s="74">
        <v>103668.0</v>
      </c>
      <c r="J108" s="74">
        <v>108.7</v>
      </c>
      <c r="K108" s="84" t="s">
        <v>162</v>
      </c>
      <c r="L108" s="74">
        <v>22.7</v>
      </c>
      <c r="M108" s="74">
        <v>20.0</v>
      </c>
      <c r="N108" s="28" t="s">
        <v>199</v>
      </c>
    </row>
    <row r="109" ht="12.75" customHeight="1">
      <c r="A109" s="88">
        <v>14.0</v>
      </c>
      <c r="B109" s="88" t="s">
        <v>32</v>
      </c>
      <c r="C109" s="88">
        <v>3.0</v>
      </c>
      <c r="D109" s="88">
        <v>2020.0</v>
      </c>
      <c r="E109" s="76">
        <v>4.5</v>
      </c>
      <c r="F109" s="76">
        <v>107.3</v>
      </c>
      <c r="G109" s="76">
        <v>315.3</v>
      </c>
      <c r="H109" s="76">
        <v>1311.0</v>
      </c>
      <c r="I109" s="76">
        <v>112680.0</v>
      </c>
      <c r="J109" s="76">
        <v>115.6</v>
      </c>
      <c r="K109" s="85" t="s">
        <v>162</v>
      </c>
      <c r="L109" s="76">
        <v>24.0</v>
      </c>
      <c r="M109" s="76">
        <v>23.7</v>
      </c>
      <c r="N109" s="20" t="s">
        <v>199</v>
      </c>
    </row>
    <row r="110" ht="12.75" customHeight="1">
      <c r="A110" s="88">
        <v>14.0</v>
      </c>
      <c r="B110" s="88" t="s">
        <v>32</v>
      </c>
      <c r="C110" s="88">
        <v>3.0</v>
      </c>
      <c r="D110" s="88">
        <v>2021.0</v>
      </c>
      <c r="E110" s="74">
        <v>4.7</v>
      </c>
      <c r="F110" s="74">
        <v>111.2</v>
      </c>
      <c r="G110" s="74">
        <v>374.2</v>
      </c>
      <c r="H110" s="74">
        <v>1315.0</v>
      </c>
      <c r="I110" s="74">
        <v>130223.0</v>
      </c>
      <c r="J110" s="74">
        <v>112.6</v>
      </c>
      <c r="K110" s="74">
        <v>29.9</v>
      </c>
      <c r="L110" s="74">
        <v>23.2</v>
      </c>
      <c r="M110" s="74">
        <v>23.8</v>
      </c>
      <c r="N110" s="28" t="s">
        <v>199</v>
      </c>
    </row>
    <row r="111" ht="12.75" customHeight="1">
      <c r="A111" s="88">
        <v>14.0</v>
      </c>
      <c r="B111" s="88" t="s">
        <v>32</v>
      </c>
      <c r="C111" s="88">
        <v>3.0</v>
      </c>
      <c r="D111" s="88">
        <v>2022.0</v>
      </c>
      <c r="E111" s="76">
        <v>5.3</v>
      </c>
      <c r="F111" s="76">
        <v>102.4</v>
      </c>
      <c r="G111" s="76">
        <v>456.2</v>
      </c>
      <c r="H111" s="76">
        <v>1305.0</v>
      </c>
      <c r="I111" s="76">
        <v>146637.0</v>
      </c>
      <c r="J111" s="76">
        <v>115.3</v>
      </c>
      <c r="K111" s="76">
        <v>34.7</v>
      </c>
      <c r="L111" s="76">
        <v>43.4</v>
      </c>
      <c r="M111" s="76">
        <v>24.8</v>
      </c>
      <c r="N111" s="20" t="s">
        <v>199</v>
      </c>
    </row>
    <row r="112" ht="12.75" customHeight="1">
      <c r="A112" s="88">
        <v>14.0</v>
      </c>
      <c r="B112" s="88" t="s">
        <v>32</v>
      </c>
      <c r="C112" s="88">
        <v>3.0</v>
      </c>
      <c r="D112" s="88">
        <v>2023.0</v>
      </c>
      <c r="E112" s="74">
        <v>4.6</v>
      </c>
      <c r="F112" s="74">
        <v>108.6</v>
      </c>
      <c r="G112" s="74">
        <v>551.4</v>
      </c>
      <c r="H112" s="74">
        <v>1276.0</v>
      </c>
      <c r="I112" s="74">
        <v>170600.0</v>
      </c>
      <c r="J112" s="74">
        <v>108.6</v>
      </c>
      <c r="K112" s="74">
        <v>30.0</v>
      </c>
      <c r="L112" s="74">
        <v>30.0</v>
      </c>
      <c r="M112" s="74">
        <v>23.0</v>
      </c>
      <c r="N112" s="28" t="s">
        <v>199</v>
      </c>
    </row>
    <row r="113" ht="12.75" customHeight="1">
      <c r="A113" s="88">
        <v>14.0</v>
      </c>
      <c r="B113" s="88" t="s">
        <v>32</v>
      </c>
      <c r="C113" s="88">
        <v>3.0</v>
      </c>
      <c r="D113" s="88">
        <v>2024.0</v>
      </c>
      <c r="E113" s="76">
        <v>5.0</v>
      </c>
      <c r="F113" s="76">
        <v>104.3</v>
      </c>
      <c r="G113" s="76">
        <v>689.8</v>
      </c>
      <c r="H113" s="76">
        <v>1269.0</v>
      </c>
      <c r="I113" s="76">
        <v>205974.0</v>
      </c>
      <c r="J113" s="76">
        <v>106.7</v>
      </c>
      <c r="K113" s="76">
        <v>45.8</v>
      </c>
      <c r="L113" s="76">
        <v>27.8</v>
      </c>
      <c r="M113" s="76">
        <v>19.5</v>
      </c>
      <c r="N113" s="20" t="s">
        <v>199</v>
      </c>
    </row>
    <row r="114" ht="12.75" customHeight="1">
      <c r="A114" s="88">
        <v>15.0</v>
      </c>
      <c r="B114" s="88" t="s">
        <v>44</v>
      </c>
      <c r="C114" s="88">
        <v>3.0</v>
      </c>
      <c r="D114" s="88">
        <v>2015.0</v>
      </c>
      <c r="E114" s="74">
        <v>0.37</v>
      </c>
      <c r="F114" s="74">
        <v>90.0</v>
      </c>
      <c r="G114" s="84" t="s">
        <v>162</v>
      </c>
      <c r="H114" s="74">
        <v>96.0</v>
      </c>
      <c r="I114" s="74">
        <v>50200.0</v>
      </c>
      <c r="J114" s="74">
        <v>98.9</v>
      </c>
      <c r="K114" s="74">
        <v>2.3</v>
      </c>
      <c r="L114" s="74">
        <v>9.7</v>
      </c>
      <c r="M114" s="74">
        <v>23.0</v>
      </c>
      <c r="N114" s="28" t="s">
        <v>200</v>
      </c>
    </row>
    <row r="115" ht="12.75" customHeight="1">
      <c r="A115" s="88">
        <v>15.0</v>
      </c>
      <c r="B115" s="88" t="s">
        <v>44</v>
      </c>
      <c r="C115" s="88">
        <v>3.0</v>
      </c>
      <c r="D115" s="88">
        <v>2016.0</v>
      </c>
      <c r="E115" s="76">
        <v>0.42</v>
      </c>
      <c r="F115" s="76">
        <v>111.0</v>
      </c>
      <c r="G115" s="85" t="s">
        <v>162</v>
      </c>
      <c r="H115" s="76">
        <v>98.0</v>
      </c>
      <c r="I115" s="76">
        <v>53400.0</v>
      </c>
      <c r="J115" s="76">
        <v>100.2</v>
      </c>
      <c r="K115" s="76">
        <v>4.6</v>
      </c>
      <c r="L115" s="76">
        <v>9.6</v>
      </c>
      <c r="M115" s="76">
        <v>23.0</v>
      </c>
      <c r="N115" s="20" t="s">
        <v>200</v>
      </c>
    </row>
    <row r="116" ht="12.75" customHeight="1">
      <c r="A116" s="88">
        <v>15.0</v>
      </c>
      <c r="B116" s="88" t="s">
        <v>44</v>
      </c>
      <c r="C116" s="88">
        <v>3.0</v>
      </c>
      <c r="D116" s="88">
        <v>2017.0</v>
      </c>
      <c r="E116" s="74">
        <v>0.45</v>
      </c>
      <c r="F116" s="74">
        <v>114.0</v>
      </c>
      <c r="G116" s="74">
        <v>769.7</v>
      </c>
      <c r="H116" s="74">
        <v>102.0</v>
      </c>
      <c r="I116" s="74">
        <v>56958.0</v>
      </c>
      <c r="J116" s="74">
        <v>101.9</v>
      </c>
      <c r="K116" s="74">
        <v>4.0</v>
      </c>
      <c r="L116" s="74">
        <v>10.8</v>
      </c>
      <c r="M116" s="74">
        <v>24.0</v>
      </c>
      <c r="N116" s="28" t="s">
        <v>200</v>
      </c>
    </row>
    <row r="117" ht="12.75" customHeight="1">
      <c r="A117" s="88">
        <v>15.0</v>
      </c>
      <c r="B117" s="88" t="s">
        <v>44</v>
      </c>
      <c r="C117" s="88">
        <v>3.0</v>
      </c>
      <c r="D117" s="88">
        <v>2018.0</v>
      </c>
      <c r="E117" s="76">
        <v>0.45</v>
      </c>
      <c r="F117" s="76">
        <v>112.0</v>
      </c>
      <c r="G117" s="76">
        <v>872.4</v>
      </c>
      <c r="H117" s="76">
        <v>105.0</v>
      </c>
      <c r="I117" s="76">
        <v>67509.0</v>
      </c>
      <c r="J117" s="76">
        <v>103.2</v>
      </c>
      <c r="K117" s="76">
        <v>4.0</v>
      </c>
      <c r="L117" s="76">
        <v>11.0</v>
      </c>
      <c r="M117" s="76">
        <v>26.0</v>
      </c>
      <c r="N117" s="20" t="s">
        <v>200</v>
      </c>
    </row>
    <row r="118" ht="12.75" customHeight="1">
      <c r="A118" s="88">
        <v>15.0</v>
      </c>
      <c r="B118" s="88" t="s">
        <v>44</v>
      </c>
      <c r="C118" s="88">
        <v>3.0</v>
      </c>
      <c r="D118" s="88">
        <v>2019.0</v>
      </c>
      <c r="E118" s="74">
        <v>0.45</v>
      </c>
      <c r="F118" s="74">
        <v>105.0</v>
      </c>
      <c r="G118" s="74">
        <v>952.9</v>
      </c>
      <c r="H118" s="74">
        <v>111.0</v>
      </c>
      <c r="I118" s="74">
        <v>73742.0</v>
      </c>
      <c r="J118" s="74">
        <v>103.3</v>
      </c>
      <c r="K118" s="74">
        <v>4.1</v>
      </c>
      <c r="L118" s="74">
        <v>11.2</v>
      </c>
      <c r="M118" s="74">
        <v>26.0</v>
      </c>
      <c r="N118" s="28" t="s">
        <v>200</v>
      </c>
    </row>
    <row r="119" ht="12.75" customHeight="1">
      <c r="A119" s="88">
        <v>15.0</v>
      </c>
      <c r="B119" s="88" t="s">
        <v>44</v>
      </c>
      <c r="C119" s="88">
        <v>3.0</v>
      </c>
      <c r="D119" s="88">
        <v>2020.0</v>
      </c>
      <c r="E119" s="76">
        <v>0.44</v>
      </c>
      <c r="F119" s="76">
        <v>96.0</v>
      </c>
      <c r="G119" s="76">
        <v>1013.7</v>
      </c>
      <c r="H119" s="76">
        <v>104.0</v>
      </c>
      <c r="I119" s="76">
        <v>84057.0</v>
      </c>
      <c r="J119" s="76">
        <v>99.6</v>
      </c>
      <c r="K119" s="76">
        <v>4.5</v>
      </c>
      <c r="L119" s="76">
        <v>10.0</v>
      </c>
      <c r="M119" s="76">
        <v>31.5</v>
      </c>
      <c r="N119" s="20" t="s">
        <v>200</v>
      </c>
    </row>
    <row r="120" ht="12.75" customHeight="1">
      <c r="A120" s="88">
        <v>15.0</v>
      </c>
      <c r="B120" s="88" t="s">
        <v>44</v>
      </c>
      <c r="C120" s="88">
        <v>3.0</v>
      </c>
      <c r="D120" s="88">
        <v>2021.0</v>
      </c>
      <c r="E120" s="74">
        <v>0.43</v>
      </c>
      <c r="F120" s="74">
        <v>122.0</v>
      </c>
      <c r="G120" s="74">
        <v>1375.3</v>
      </c>
      <c r="H120" s="74">
        <v>114.0</v>
      </c>
      <c r="I120" s="74">
        <v>92972.0</v>
      </c>
      <c r="J120" s="74">
        <v>103.8</v>
      </c>
      <c r="K120" s="74">
        <v>4.8</v>
      </c>
      <c r="L120" s="74">
        <v>10.1</v>
      </c>
      <c r="M120" s="74">
        <v>25.0</v>
      </c>
      <c r="N120" s="28" t="s">
        <v>200</v>
      </c>
    </row>
    <row r="121" ht="12.75" customHeight="1">
      <c r="A121" s="88">
        <v>15.0</v>
      </c>
      <c r="B121" s="88" t="s">
        <v>44</v>
      </c>
      <c r="C121" s="88">
        <v>3.0</v>
      </c>
      <c r="D121" s="88">
        <v>2022.0</v>
      </c>
      <c r="E121" s="76">
        <v>0.34</v>
      </c>
      <c r="F121" s="76">
        <v>98.0</v>
      </c>
      <c r="G121" s="76">
        <v>1751.4</v>
      </c>
      <c r="H121" s="76">
        <v>98.0</v>
      </c>
      <c r="I121" s="76">
        <v>105169.0</v>
      </c>
      <c r="J121" s="76">
        <v>96.4</v>
      </c>
      <c r="K121" s="76">
        <v>4.8</v>
      </c>
      <c r="L121" s="76">
        <v>10.7</v>
      </c>
      <c r="M121" s="76">
        <v>25.0</v>
      </c>
      <c r="N121" s="20" t="s">
        <v>200</v>
      </c>
    </row>
    <row r="122" ht="12.75" customHeight="1">
      <c r="A122" s="88">
        <v>15.0</v>
      </c>
      <c r="B122" s="88" t="s">
        <v>44</v>
      </c>
      <c r="C122" s="88">
        <v>3.0</v>
      </c>
      <c r="D122" s="88">
        <v>2023.0</v>
      </c>
      <c r="E122" s="74">
        <v>0.43</v>
      </c>
      <c r="F122" s="74">
        <v>130.0</v>
      </c>
      <c r="G122" s="74">
        <v>1880.1</v>
      </c>
      <c r="H122" s="74">
        <v>124.0</v>
      </c>
      <c r="I122" s="74">
        <v>104449.0</v>
      </c>
      <c r="J122" s="74">
        <v>101.7</v>
      </c>
      <c r="K122" s="74">
        <v>6.4</v>
      </c>
      <c r="L122" s="74">
        <v>12.0</v>
      </c>
      <c r="M122" s="74">
        <v>27.0</v>
      </c>
      <c r="N122" s="28" t="s">
        <v>200</v>
      </c>
    </row>
    <row r="123" ht="12.75" customHeight="1">
      <c r="A123" s="88">
        <v>15.0</v>
      </c>
      <c r="B123" s="88" t="s">
        <v>44</v>
      </c>
      <c r="C123" s="88">
        <v>3.0</v>
      </c>
      <c r="D123" s="88">
        <v>2024.0</v>
      </c>
      <c r="E123" s="76">
        <v>0.46</v>
      </c>
      <c r="F123" s="76">
        <v>124.0</v>
      </c>
      <c r="G123" s="76">
        <v>2100.0</v>
      </c>
      <c r="H123" s="76">
        <v>132.0</v>
      </c>
      <c r="I123" s="76">
        <v>125795.0</v>
      </c>
      <c r="J123" s="76">
        <v>102.7</v>
      </c>
      <c r="K123" s="76">
        <v>6.5</v>
      </c>
      <c r="L123" s="76">
        <v>11.6</v>
      </c>
      <c r="M123" s="76">
        <v>28.0</v>
      </c>
      <c r="N123" s="20" t="s">
        <v>200</v>
      </c>
    </row>
    <row r="124" ht="12.75" customHeight="1">
      <c r="A124" s="88">
        <v>16.0</v>
      </c>
      <c r="B124" s="88" t="s">
        <v>59</v>
      </c>
      <c r="C124" s="88">
        <v>3.0</v>
      </c>
      <c r="D124" s="88">
        <v>2015.0</v>
      </c>
      <c r="E124" s="74">
        <v>2.5</v>
      </c>
      <c r="F124" s="74">
        <v>100.4</v>
      </c>
      <c r="G124" s="74">
        <v>917.9</v>
      </c>
      <c r="H124" s="84" t="s">
        <v>162</v>
      </c>
      <c r="I124" s="74">
        <v>36865.0</v>
      </c>
      <c r="J124" s="74">
        <v>98.4</v>
      </c>
      <c r="K124" s="74">
        <v>5.5</v>
      </c>
      <c r="L124" s="74">
        <v>5.4</v>
      </c>
      <c r="M124" s="84" t="s">
        <v>162</v>
      </c>
      <c r="N124" s="28" t="s">
        <v>193</v>
      </c>
    </row>
    <row r="125" ht="12.75" customHeight="1">
      <c r="A125" s="88">
        <v>16.0</v>
      </c>
      <c r="B125" s="88" t="s">
        <v>59</v>
      </c>
      <c r="C125" s="88">
        <v>3.0</v>
      </c>
      <c r="D125" s="88">
        <v>2016.0</v>
      </c>
      <c r="E125" s="76">
        <v>2.64</v>
      </c>
      <c r="F125" s="76">
        <v>102.9</v>
      </c>
      <c r="G125" s="76">
        <v>844.0</v>
      </c>
      <c r="H125" s="85" t="s">
        <v>162</v>
      </c>
      <c r="I125" s="76">
        <v>39629.0</v>
      </c>
      <c r="J125" s="76">
        <v>101.5</v>
      </c>
      <c r="K125" s="76">
        <v>7.8</v>
      </c>
      <c r="L125" s="76">
        <v>6.1</v>
      </c>
      <c r="M125" s="85" t="s">
        <v>162</v>
      </c>
      <c r="N125" s="20" t="s">
        <v>193</v>
      </c>
    </row>
    <row r="126" ht="12.75" customHeight="1">
      <c r="A126" s="88">
        <v>16.0</v>
      </c>
      <c r="B126" s="88" t="s">
        <v>59</v>
      </c>
      <c r="C126" s="88">
        <v>3.0</v>
      </c>
      <c r="D126" s="88">
        <v>2017.0</v>
      </c>
      <c r="E126" s="74">
        <v>2.62</v>
      </c>
      <c r="F126" s="74">
        <v>99.9</v>
      </c>
      <c r="G126" s="74">
        <v>943.7</v>
      </c>
      <c r="H126" s="74">
        <v>1642.6</v>
      </c>
      <c r="I126" s="74">
        <v>44632.0</v>
      </c>
      <c r="J126" s="74">
        <v>100.5</v>
      </c>
      <c r="K126" s="74">
        <v>8.3</v>
      </c>
      <c r="L126" s="74">
        <v>6.8</v>
      </c>
      <c r="M126" s="84" t="s">
        <v>162</v>
      </c>
      <c r="N126" s="28" t="s">
        <v>193</v>
      </c>
    </row>
    <row r="127" ht="12.75" customHeight="1">
      <c r="A127" s="88">
        <v>16.0</v>
      </c>
      <c r="B127" s="88" t="s">
        <v>59</v>
      </c>
      <c r="C127" s="88">
        <v>3.0</v>
      </c>
      <c r="D127" s="88">
        <v>2018.0</v>
      </c>
      <c r="E127" s="76">
        <v>2.37</v>
      </c>
      <c r="F127" s="76">
        <v>103.0</v>
      </c>
      <c r="G127" s="76">
        <v>1013.0</v>
      </c>
      <c r="H127" s="76">
        <v>1631.9</v>
      </c>
      <c r="I127" s="76">
        <v>47482.0</v>
      </c>
      <c r="J127" s="76">
        <v>101.4</v>
      </c>
      <c r="K127" s="76">
        <v>8.8</v>
      </c>
      <c r="L127" s="76">
        <v>6.7</v>
      </c>
      <c r="M127" s="85" t="s">
        <v>162</v>
      </c>
      <c r="N127" s="20" t="s">
        <v>193</v>
      </c>
    </row>
    <row r="128" ht="12.75" customHeight="1">
      <c r="A128" s="88">
        <v>16.0</v>
      </c>
      <c r="B128" s="88" t="s">
        <v>59</v>
      </c>
      <c r="C128" s="88">
        <v>3.0</v>
      </c>
      <c r="D128" s="88">
        <v>2019.0</v>
      </c>
      <c r="E128" s="74">
        <v>2.34</v>
      </c>
      <c r="F128" s="74">
        <v>100.2</v>
      </c>
      <c r="G128" s="74">
        <v>1033.4</v>
      </c>
      <c r="H128" s="74">
        <v>1615.3</v>
      </c>
      <c r="I128" s="74">
        <v>50382.0</v>
      </c>
      <c r="J128" s="74">
        <v>100.4</v>
      </c>
      <c r="K128" s="74">
        <v>9.2</v>
      </c>
      <c r="L128" s="74">
        <v>7.1</v>
      </c>
      <c r="M128" s="74">
        <v>46.5</v>
      </c>
      <c r="N128" s="28" t="s">
        <v>193</v>
      </c>
    </row>
    <row r="129" ht="12.75" customHeight="1">
      <c r="A129" s="88">
        <v>16.0</v>
      </c>
      <c r="B129" s="88" t="s">
        <v>59</v>
      </c>
      <c r="C129" s="88">
        <v>3.0</v>
      </c>
      <c r="D129" s="88">
        <v>2020.0</v>
      </c>
      <c r="E129" s="76">
        <v>2.39</v>
      </c>
      <c r="F129" s="76">
        <v>99.2</v>
      </c>
      <c r="G129" s="76">
        <v>1149.6</v>
      </c>
      <c r="H129" s="76">
        <v>1597.9</v>
      </c>
      <c r="I129" s="76">
        <v>53157.0</v>
      </c>
      <c r="J129" s="76">
        <v>97.6</v>
      </c>
      <c r="K129" s="76">
        <v>8.4</v>
      </c>
      <c r="L129" s="76">
        <v>7.3</v>
      </c>
      <c r="M129" s="76">
        <v>48.3</v>
      </c>
      <c r="N129" s="20" t="s">
        <v>193</v>
      </c>
    </row>
    <row r="130" ht="12.75" customHeight="1">
      <c r="A130" s="88">
        <v>16.0</v>
      </c>
      <c r="B130" s="88" t="s">
        <v>59</v>
      </c>
      <c r="C130" s="88">
        <v>3.0</v>
      </c>
      <c r="D130" s="88">
        <v>2021.0</v>
      </c>
      <c r="E130" s="74">
        <v>2.09</v>
      </c>
      <c r="F130" s="74">
        <v>105.6</v>
      </c>
      <c r="G130" s="74">
        <v>1147.5</v>
      </c>
      <c r="H130" s="74">
        <v>1594.5</v>
      </c>
      <c r="I130" s="74">
        <v>57804.0</v>
      </c>
      <c r="J130" s="74">
        <v>107.1</v>
      </c>
      <c r="K130" s="74">
        <v>9.6</v>
      </c>
      <c r="L130" s="74">
        <v>6.9</v>
      </c>
      <c r="M130" s="74">
        <v>45.3</v>
      </c>
      <c r="N130" s="28" t="s">
        <v>193</v>
      </c>
    </row>
    <row r="131" ht="12.75" customHeight="1">
      <c r="A131" s="88">
        <v>16.0</v>
      </c>
      <c r="B131" s="88" t="s">
        <v>59</v>
      </c>
      <c r="C131" s="88">
        <v>3.0</v>
      </c>
      <c r="D131" s="88">
        <v>2022.0</v>
      </c>
      <c r="E131" s="76">
        <v>2.01</v>
      </c>
      <c r="F131" s="76">
        <v>101.5</v>
      </c>
      <c r="G131" s="76">
        <v>1344.8</v>
      </c>
      <c r="H131" s="76">
        <v>1571.4</v>
      </c>
      <c r="I131" s="76">
        <v>65452.0</v>
      </c>
      <c r="J131" s="76">
        <v>100.1</v>
      </c>
      <c r="K131" s="76">
        <v>9.8</v>
      </c>
      <c r="L131" s="76">
        <v>6.7</v>
      </c>
      <c r="M131" s="76">
        <v>47.6</v>
      </c>
      <c r="N131" s="20" t="s">
        <v>193</v>
      </c>
    </row>
    <row r="132" ht="12.75" customHeight="1">
      <c r="A132" s="88">
        <v>16.0</v>
      </c>
      <c r="B132" s="88" t="s">
        <v>59</v>
      </c>
      <c r="C132" s="88">
        <v>3.0</v>
      </c>
      <c r="D132" s="88">
        <v>2023.0</v>
      </c>
      <c r="E132" s="74">
        <v>1.96</v>
      </c>
      <c r="F132" s="74">
        <v>101.1</v>
      </c>
      <c r="G132" s="74">
        <v>1774.1</v>
      </c>
      <c r="H132" s="74">
        <v>1554.1</v>
      </c>
      <c r="I132" s="74">
        <v>74438.0</v>
      </c>
      <c r="J132" s="74">
        <v>100.8</v>
      </c>
      <c r="K132" s="74">
        <v>10.7</v>
      </c>
      <c r="L132" s="74">
        <v>7.7</v>
      </c>
      <c r="M132" s="74">
        <v>44.1</v>
      </c>
      <c r="N132" s="28" t="s">
        <v>193</v>
      </c>
    </row>
    <row r="133" ht="12.75" customHeight="1">
      <c r="A133" s="88">
        <v>16.0</v>
      </c>
      <c r="B133" s="88" t="s">
        <v>59</v>
      </c>
      <c r="C133" s="88">
        <v>3.0</v>
      </c>
      <c r="D133" s="88">
        <v>2024.0</v>
      </c>
      <c r="E133" s="76">
        <v>1.97</v>
      </c>
      <c r="F133" s="76">
        <v>104.5</v>
      </c>
      <c r="G133" s="76">
        <v>2065.4</v>
      </c>
      <c r="H133" s="85" t="s">
        <v>162</v>
      </c>
      <c r="I133" s="76">
        <v>86661.0</v>
      </c>
      <c r="J133" s="76">
        <v>102.1</v>
      </c>
      <c r="K133" s="76">
        <v>10.2</v>
      </c>
      <c r="L133" s="76">
        <v>7.2</v>
      </c>
      <c r="M133" s="76">
        <v>45.0</v>
      </c>
      <c r="N133" s="20" t="s">
        <v>193</v>
      </c>
    </row>
    <row r="134" ht="12.75" customHeight="1">
      <c r="A134" s="88">
        <v>17.0</v>
      </c>
      <c r="B134" s="88" t="s">
        <v>22</v>
      </c>
      <c r="C134" s="88">
        <v>3.0</v>
      </c>
      <c r="D134" s="88">
        <v>2015.0</v>
      </c>
      <c r="E134" s="84" t="s">
        <v>162</v>
      </c>
      <c r="F134" s="74">
        <v>100.0</v>
      </c>
      <c r="G134" s="74">
        <v>234.0</v>
      </c>
      <c r="H134" s="84" t="s">
        <v>162</v>
      </c>
      <c r="I134" s="74">
        <v>41916.0</v>
      </c>
      <c r="J134" s="74">
        <v>100.0</v>
      </c>
      <c r="K134" s="74">
        <v>1.7</v>
      </c>
      <c r="L134" s="84" t="s">
        <v>162</v>
      </c>
      <c r="M134" s="84" t="s">
        <v>162</v>
      </c>
      <c r="N134" s="28" t="s">
        <v>201</v>
      </c>
    </row>
    <row r="135" ht="12.75" customHeight="1">
      <c r="A135" s="88">
        <v>17.0</v>
      </c>
      <c r="B135" s="88" t="s">
        <v>22</v>
      </c>
      <c r="C135" s="88">
        <v>3.0</v>
      </c>
      <c r="D135" s="88">
        <v>2016.0</v>
      </c>
      <c r="E135" s="85" t="s">
        <v>162</v>
      </c>
      <c r="F135" s="76">
        <v>109.5</v>
      </c>
      <c r="G135" s="76">
        <v>271.0</v>
      </c>
      <c r="H135" s="85" t="s">
        <v>162</v>
      </c>
      <c r="I135" s="76">
        <v>43611.0</v>
      </c>
      <c r="J135" s="76">
        <v>116.6</v>
      </c>
      <c r="K135" s="76">
        <v>1.0</v>
      </c>
      <c r="L135" s="85" t="s">
        <v>162</v>
      </c>
      <c r="M135" s="85" t="s">
        <v>162</v>
      </c>
      <c r="N135" s="20" t="s">
        <v>201</v>
      </c>
    </row>
    <row r="136" ht="12.75" customHeight="1">
      <c r="A136" s="88">
        <v>17.0</v>
      </c>
      <c r="B136" s="88" t="s">
        <v>22</v>
      </c>
      <c r="C136" s="88">
        <v>3.0</v>
      </c>
      <c r="D136" s="88">
        <v>2017.0</v>
      </c>
      <c r="E136" s="84" t="s">
        <v>162</v>
      </c>
      <c r="F136" s="74">
        <v>115.3</v>
      </c>
      <c r="G136" s="74">
        <v>285.0</v>
      </c>
      <c r="H136" s="74">
        <v>3732.1</v>
      </c>
      <c r="I136" s="74">
        <v>43500.0</v>
      </c>
      <c r="J136" s="74">
        <v>121.8</v>
      </c>
      <c r="K136" s="74">
        <v>1.6</v>
      </c>
      <c r="L136" s="84" t="s">
        <v>162</v>
      </c>
      <c r="M136" s="84" t="s">
        <v>162</v>
      </c>
      <c r="N136" s="28" t="s">
        <v>201</v>
      </c>
    </row>
    <row r="137" ht="12.75" customHeight="1">
      <c r="A137" s="88">
        <v>17.0</v>
      </c>
      <c r="B137" s="88" t="s">
        <v>22</v>
      </c>
      <c r="C137" s="88">
        <v>3.0</v>
      </c>
      <c r="D137" s="88">
        <v>2018.0</v>
      </c>
      <c r="E137" s="85" t="s">
        <v>162</v>
      </c>
      <c r="F137" s="76">
        <v>112.4</v>
      </c>
      <c r="G137" s="76">
        <v>271.0</v>
      </c>
      <c r="H137" s="76">
        <v>3684.6</v>
      </c>
      <c r="I137" s="76">
        <v>47803.0</v>
      </c>
      <c r="J137" s="76">
        <v>123.3</v>
      </c>
      <c r="K137" s="76">
        <v>2.4</v>
      </c>
      <c r="L137" s="85" t="s">
        <v>162</v>
      </c>
      <c r="M137" s="85" t="s">
        <v>162</v>
      </c>
      <c r="N137" s="20" t="s">
        <v>201</v>
      </c>
    </row>
    <row r="138" ht="12.75" customHeight="1">
      <c r="A138" s="88">
        <v>17.0</v>
      </c>
      <c r="B138" s="88" t="s">
        <v>22</v>
      </c>
      <c r="C138" s="88">
        <v>3.0</v>
      </c>
      <c r="D138" s="88">
        <v>2019.0</v>
      </c>
      <c r="E138" s="84" t="s">
        <v>162</v>
      </c>
      <c r="F138" s="74">
        <v>114.8</v>
      </c>
      <c r="G138" s="74">
        <v>300.0</v>
      </c>
      <c r="H138" s="74">
        <v>3661.0</v>
      </c>
      <c r="I138" s="74">
        <v>50991.0</v>
      </c>
      <c r="J138" s="74">
        <v>133.9</v>
      </c>
      <c r="K138" s="74">
        <v>15.2</v>
      </c>
      <c r="L138" s="84" t="s">
        <v>162</v>
      </c>
      <c r="M138" s="74">
        <v>22.9</v>
      </c>
      <c r="N138" s="28" t="s">
        <v>201</v>
      </c>
    </row>
    <row r="139" ht="12.75" customHeight="1">
      <c r="A139" s="88">
        <v>17.0</v>
      </c>
      <c r="B139" s="88" t="s">
        <v>22</v>
      </c>
      <c r="C139" s="88">
        <v>3.0</v>
      </c>
      <c r="D139" s="88">
        <v>2020.0</v>
      </c>
      <c r="E139" s="76">
        <v>4.3</v>
      </c>
      <c r="F139" s="76">
        <v>114.8</v>
      </c>
      <c r="G139" s="76">
        <v>379.0</v>
      </c>
      <c r="H139" s="76">
        <v>3677.2</v>
      </c>
      <c r="I139" s="76">
        <v>54496.0</v>
      </c>
      <c r="J139" s="76">
        <v>140.8</v>
      </c>
      <c r="K139" s="76">
        <v>19.3</v>
      </c>
      <c r="L139" s="85" t="s">
        <v>162</v>
      </c>
      <c r="M139" s="76">
        <v>22.0</v>
      </c>
      <c r="N139" s="20" t="s">
        <v>201</v>
      </c>
    </row>
    <row r="140" ht="12.75" customHeight="1">
      <c r="A140" s="88">
        <v>17.0</v>
      </c>
      <c r="B140" s="88" t="s">
        <v>22</v>
      </c>
      <c r="C140" s="88">
        <v>3.0</v>
      </c>
      <c r="D140" s="88">
        <v>2021.0</v>
      </c>
      <c r="E140" s="74">
        <v>4.1</v>
      </c>
      <c r="F140" s="74">
        <v>128.0</v>
      </c>
      <c r="G140" s="74">
        <v>424.0</v>
      </c>
      <c r="H140" s="74">
        <v>3667.0</v>
      </c>
      <c r="I140" s="74">
        <v>58620.0</v>
      </c>
      <c r="J140" s="74">
        <v>154.3</v>
      </c>
      <c r="K140" s="74">
        <v>4.9</v>
      </c>
      <c r="L140" s="84" t="s">
        <v>162</v>
      </c>
      <c r="M140" s="74">
        <v>19.6</v>
      </c>
      <c r="N140" s="28" t="s">
        <v>201</v>
      </c>
    </row>
    <row r="141" ht="12.75" customHeight="1">
      <c r="A141" s="88">
        <v>17.0</v>
      </c>
      <c r="B141" s="88" t="s">
        <v>22</v>
      </c>
      <c r="C141" s="88">
        <v>3.0</v>
      </c>
      <c r="D141" s="88">
        <v>2022.0</v>
      </c>
      <c r="E141" s="85" t="s">
        <v>162</v>
      </c>
      <c r="F141" s="76">
        <v>128.0</v>
      </c>
      <c r="G141" s="76">
        <v>576.0</v>
      </c>
      <c r="H141" s="76">
        <v>3622.8</v>
      </c>
      <c r="I141" s="76">
        <v>63505.0</v>
      </c>
      <c r="J141" s="76">
        <v>170.2</v>
      </c>
      <c r="K141" s="76">
        <v>4.7</v>
      </c>
      <c r="L141" s="85" t="s">
        <v>162</v>
      </c>
      <c r="M141" s="76">
        <v>19.9</v>
      </c>
      <c r="N141" s="20" t="s">
        <v>201</v>
      </c>
    </row>
    <row r="142" ht="12.75" customHeight="1">
      <c r="A142" s="88">
        <v>17.0</v>
      </c>
      <c r="B142" s="88" t="s">
        <v>22</v>
      </c>
      <c r="C142" s="88">
        <v>3.0</v>
      </c>
      <c r="D142" s="88">
        <v>2023.0</v>
      </c>
      <c r="E142" s="74">
        <v>5.8</v>
      </c>
      <c r="F142" s="74">
        <v>135.0</v>
      </c>
      <c r="G142" s="74">
        <v>693.0</v>
      </c>
      <c r="H142" s="74">
        <v>3543.3</v>
      </c>
      <c r="I142" s="74">
        <v>73949.0</v>
      </c>
      <c r="J142" s="74">
        <v>187.4</v>
      </c>
      <c r="K142" s="84" t="s">
        <v>162</v>
      </c>
      <c r="L142" s="84" t="s">
        <v>162</v>
      </c>
      <c r="M142" s="74">
        <v>20.7</v>
      </c>
      <c r="N142" s="28" t="s">
        <v>201</v>
      </c>
    </row>
    <row r="143" ht="12.75" customHeight="1">
      <c r="A143" s="88">
        <v>17.0</v>
      </c>
      <c r="B143" s="88" t="s">
        <v>22</v>
      </c>
      <c r="C143" s="88">
        <v>3.0</v>
      </c>
      <c r="D143" s="88">
        <v>2024.0</v>
      </c>
      <c r="E143" s="85" t="s">
        <v>162</v>
      </c>
      <c r="F143" s="76">
        <v>141.0</v>
      </c>
      <c r="G143" s="76">
        <v>753.0</v>
      </c>
      <c r="H143" s="85" t="s">
        <v>162</v>
      </c>
      <c r="I143" s="76">
        <v>84956.0</v>
      </c>
      <c r="J143" s="85" t="s">
        <v>162</v>
      </c>
      <c r="K143" s="85" t="s">
        <v>162</v>
      </c>
      <c r="L143" s="85" t="s">
        <v>162</v>
      </c>
      <c r="M143" s="76">
        <v>23.4</v>
      </c>
      <c r="N143" s="20" t="s">
        <v>201</v>
      </c>
    </row>
    <row r="144" ht="12.75" customHeight="1">
      <c r="A144" s="89">
        <v>19.0</v>
      </c>
      <c r="B144" s="89" t="s">
        <v>43</v>
      </c>
      <c r="C144" s="89">
        <v>4.0</v>
      </c>
      <c r="D144" s="89">
        <v>2015.0</v>
      </c>
      <c r="E144" s="74">
        <v>6.8</v>
      </c>
      <c r="F144" s="74">
        <v>99.0</v>
      </c>
      <c r="G144" s="74">
        <v>2614.7</v>
      </c>
      <c r="H144" s="74">
        <v>6002.0</v>
      </c>
      <c r="I144" s="74">
        <v>39815.0</v>
      </c>
      <c r="J144" s="74">
        <v>100.5</v>
      </c>
      <c r="K144" s="74">
        <v>15.0</v>
      </c>
      <c r="L144" s="74">
        <v>17.2</v>
      </c>
      <c r="M144" s="74">
        <v>32.3</v>
      </c>
      <c r="N144" s="28" t="s">
        <v>202</v>
      </c>
    </row>
    <row r="145" ht="12.75" customHeight="1">
      <c r="A145" s="89">
        <v>19.0</v>
      </c>
      <c r="B145" s="89" t="s">
        <v>43</v>
      </c>
      <c r="C145" s="89">
        <v>4.0</v>
      </c>
      <c r="D145" s="89">
        <v>2016.0</v>
      </c>
      <c r="E145" s="76">
        <v>6.7</v>
      </c>
      <c r="F145" s="76">
        <v>97.0</v>
      </c>
      <c r="G145" s="76">
        <v>2604.3</v>
      </c>
      <c r="H145" s="76">
        <v>1950.0</v>
      </c>
      <c r="I145" s="76">
        <v>28104.0</v>
      </c>
      <c r="J145" s="76">
        <v>101.2</v>
      </c>
      <c r="K145" s="76">
        <v>16.5</v>
      </c>
      <c r="L145" s="76">
        <v>15.4</v>
      </c>
      <c r="M145" s="76">
        <v>30.0</v>
      </c>
      <c r="N145" s="20" t="s">
        <v>203</v>
      </c>
    </row>
    <row r="146" ht="12.75" customHeight="1">
      <c r="A146" s="89">
        <v>19.0</v>
      </c>
      <c r="B146" s="89" t="s">
        <v>43</v>
      </c>
      <c r="C146" s="89">
        <v>4.0</v>
      </c>
      <c r="D146" s="89">
        <v>2017.0</v>
      </c>
      <c r="E146" s="74">
        <v>6.9</v>
      </c>
      <c r="F146" s="74">
        <v>103.6</v>
      </c>
      <c r="G146" s="74">
        <v>2727.9</v>
      </c>
      <c r="H146" s="74">
        <v>1934.0</v>
      </c>
      <c r="I146" s="74">
        <v>30208.0</v>
      </c>
      <c r="J146" s="74">
        <v>101.8</v>
      </c>
      <c r="K146" s="74">
        <v>18.5</v>
      </c>
      <c r="L146" s="74">
        <v>21.3</v>
      </c>
      <c r="M146" s="74">
        <v>31.8</v>
      </c>
      <c r="N146" s="28" t="s">
        <v>204</v>
      </c>
    </row>
    <row r="147" ht="12.75" customHeight="1">
      <c r="A147" s="89">
        <v>19.0</v>
      </c>
      <c r="B147" s="89" t="s">
        <v>43</v>
      </c>
      <c r="C147" s="89">
        <v>4.0</v>
      </c>
      <c r="D147" s="89">
        <v>2018.0</v>
      </c>
      <c r="E147" s="76">
        <v>7.0</v>
      </c>
      <c r="F147" s="76">
        <v>105.7</v>
      </c>
      <c r="G147" s="76">
        <v>2714.0</v>
      </c>
      <c r="H147" s="76">
        <v>1927.0</v>
      </c>
      <c r="I147" s="76">
        <v>33101.0</v>
      </c>
      <c r="J147" s="76">
        <v>102.4</v>
      </c>
      <c r="K147" s="76">
        <v>18.1</v>
      </c>
      <c r="L147" s="76">
        <v>20.5</v>
      </c>
      <c r="M147" s="76">
        <v>33.1</v>
      </c>
      <c r="N147" s="20" t="s">
        <v>205</v>
      </c>
    </row>
    <row r="148" ht="12.75" customHeight="1">
      <c r="A148" s="89">
        <v>19.0</v>
      </c>
      <c r="B148" s="89" t="s">
        <v>43</v>
      </c>
      <c r="C148" s="89">
        <v>4.0</v>
      </c>
      <c r="D148" s="89">
        <v>2019.0</v>
      </c>
      <c r="E148" s="74">
        <v>7.1</v>
      </c>
      <c r="F148" s="74">
        <v>102.5</v>
      </c>
      <c r="G148" s="74">
        <v>2854.0</v>
      </c>
      <c r="H148" s="74">
        <v>1923.0</v>
      </c>
      <c r="I148" s="74">
        <v>36859.0</v>
      </c>
      <c r="J148" s="74">
        <v>102.4</v>
      </c>
      <c r="K148" s="74">
        <v>21.8</v>
      </c>
      <c r="L148" s="74">
        <v>25.0</v>
      </c>
      <c r="M148" s="74">
        <v>37.5</v>
      </c>
      <c r="N148" s="90" t="s">
        <v>206</v>
      </c>
    </row>
    <row r="149" ht="12.75" customHeight="1">
      <c r="A149" s="89">
        <v>19.0</v>
      </c>
      <c r="B149" s="89" t="s">
        <v>43</v>
      </c>
      <c r="C149" s="89">
        <v>4.0</v>
      </c>
      <c r="D149" s="89">
        <v>2020.0</v>
      </c>
      <c r="E149" s="76">
        <v>7.2</v>
      </c>
      <c r="F149" s="76">
        <v>95.5</v>
      </c>
      <c r="G149" s="76">
        <v>2853.0</v>
      </c>
      <c r="H149" s="76">
        <v>1881.0</v>
      </c>
      <c r="I149" s="76">
        <v>37628.0</v>
      </c>
      <c r="J149" s="76">
        <v>96.0</v>
      </c>
      <c r="K149" s="76">
        <v>28.1</v>
      </c>
      <c r="L149" s="76">
        <v>22.5</v>
      </c>
      <c r="M149" s="76">
        <v>35.6</v>
      </c>
      <c r="N149" s="91" t="s">
        <v>207</v>
      </c>
    </row>
    <row r="150" ht="12.75" customHeight="1">
      <c r="A150" s="89">
        <v>19.0</v>
      </c>
      <c r="B150" s="89" t="s">
        <v>43</v>
      </c>
      <c r="C150" s="89">
        <v>4.0</v>
      </c>
      <c r="D150" s="89">
        <v>2021.0</v>
      </c>
      <c r="E150" s="74">
        <v>7.3</v>
      </c>
      <c r="F150" s="74">
        <v>102.8</v>
      </c>
      <c r="G150" s="74">
        <v>3035.5</v>
      </c>
      <c r="H150" s="74">
        <v>1900.0</v>
      </c>
      <c r="I150" s="74">
        <v>43620.0</v>
      </c>
      <c r="J150" s="74">
        <v>97.5</v>
      </c>
      <c r="K150" s="74">
        <v>25.0</v>
      </c>
      <c r="L150" s="74">
        <v>21.8</v>
      </c>
      <c r="M150" s="74">
        <v>33.7</v>
      </c>
      <c r="N150" s="90" t="s">
        <v>208</v>
      </c>
    </row>
    <row r="151" ht="12.75" customHeight="1">
      <c r="A151" s="89">
        <v>19.0</v>
      </c>
      <c r="B151" s="89" t="s">
        <v>43</v>
      </c>
      <c r="C151" s="89">
        <v>4.0</v>
      </c>
      <c r="D151" s="89">
        <v>2022.0</v>
      </c>
      <c r="E151" s="76">
        <v>7.0</v>
      </c>
      <c r="F151" s="76">
        <v>102.6</v>
      </c>
      <c r="G151" s="76">
        <v>3765.8</v>
      </c>
      <c r="H151" s="76">
        <v>1879.0</v>
      </c>
      <c r="I151" s="76">
        <v>48531.0</v>
      </c>
      <c r="J151" s="76">
        <v>98.5</v>
      </c>
      <c r="K151" s="76">
        <v>24.6</v>
      </c>
      <c r="L151" s="76">
        <v>21.0</v>
      </c>
      <c r="M151" s="76">
        <v>32.1</v>
      </c>
      <c r="N151" s="91" t="s">
        <v>209</v>
      </c>
    </row>
    <row r="152" ht="12.75" customHeight="1">
      <c r="A152" s="89">
        <v>19.0</v>
      </c>
      <c r="B152" s="89" t="s">
        <v>43</v>
      </c>
      <c r="C152" s="89">
        <v>4.0</v>
      </c>
      <c r="D152" s="89">
        <v>2023.0</v>
      </c>
      <c r="E152" s="74">
        <v>68.0</v>
      </c>
      <c r="F152" s="74">
        <v>104.8</v>
      </c>
      <c r="G152" s="74">
        <v>4240.2</v>
      </c>
      <c r="H152" s="74">
        <v>1877.0</v>
      </c>
      <c r="I152" s="74">
        <v>55443.0</v>
      </c>
      <c r="J152" s="74">
        <v>99.0</v>
      </c>
      <c r="K152" s="74">
        <v>19.0</v>
      </c>
      <c r="L152" s="74">
        <v>19.9</v>
      </c>
      <c r="M152" s="74">
        <v>31.4</v>
      </c>
      <c r="N152" s="90" t="s">
        <v>210</v>
      </c>
    </row>
    <row r="153" ht="12.75" customHeight="1">
      <c r="A153" s="89">
        <v>19.0</v>
      </c>
      <c r="B153" s="89" t="s">
        <v>43</v>
      </c>
      <c r="C153" s="89">
        <v>4.0</v>
      </c>
      <c r="D153" s="89">
        <v>2024.0</v>
      </c>
      <c r="E153" s="76">
        <v>6.9</v>
      </c>
      <c r="F153" s="76">
        <v>92.8</v>
      </c>
      <c r="G153" s="76">
        <v>4903.2</v>
      </c>
      <c r="H153" s="76">
        <v>1889.0</v>
      </c>
      <c r="I153" s="76">
        <v>64084.0</v>
      </c>
      <c r="J153" s="76">
        <v>97.0</v>
      </c>
      <c r="K153" s="76">
        <v>29.4</v>
      </c>
      <c r="L153" s="76">
        <v>20.6</v>
      </c>
      <c r="M153" s="76">
        <v>29.8</v>
      </c>
      <c r="N153" s="20"/>
    </row>
    <row r="154" ht="12.75" customHeight="1">
      <c r="A154" s="89">
        <v>20.0</v>
      </c>
      <c r="B154" s="89" t="s">
        <v>34</v>
      </c>
      <c r="C154" s="89">
        <v>4.0</v>
      </c>
      <c r="D154" s="89">
        <v>2015.0</v>
      </c>
      <c r="E154" s="74">
        <v>0.65</v>
      </c>
      <c r="F154" s="74">
        <v>106.3</v>
      </c>
      <c r="G154" s="74">
        <v>35.0</v>
      </c>
      <c r="H154" s="74">
        <v>185.5</v>
      </c>
      <c r="I154" s="74">
        <v>39342.0</v>
      </c>
      <c r="J154" s="74">
        <v>104.5</v>
      </c>
      <c r="K154" s="74">
        <v>22.5</v>
      </c>
      <c r="L154" s="74">
        <v>4.8</v>
      </c>
      <c r="M154" s="74">
        <v>18.5</v>
      </c>
      <c r="N154" s="28" t="s">
        <v>211</v>
      </c>
    </row>
    <row r="155" ht="12.75" customHeight="1">
      <c r="A155" s="89">
        <v>20.0</v>
      </c>
      <c r="B155" s="89" t="s">
        <v>34</v>
      </c>
      <c r="C155" s="89">
        <v>4.0</v>
      </c>
      <c r="D155" s="89">
        <v>2016.0</v>
      </c>
      <c r="E155" s="76">
        <v>0.68</v>
      </c>
      <c r="F155" s="76">
        <v>127.5</v>
      </c>
      <c r="G155" s="76">
        <v>28.6</v>
      </c>
      <c r="H155" s="76">
        <v>187.2</v>
      </c>
      <c r="I155" s="76">
        <v>46609.0</v>
      </c>
      <c r="J155" s="76">
        <v>108.2</v>
      </c>
      <c r="K155" s="76">
        <v>24.8</v>
      </c>
      <c r="L155" s="76">
        <v>5.2</v>
      </c>
      <c r="M155" s="76">
        <v>16.2</v>
      </c>
      <c r="N155" s="91" t="s">
        <v>212</v>
      </c>
    </row>
    <row r="156" ht="12.75" customHeight="1">
      <c r="A156" s="89">
        <v>20.0</v>
      </c>
      <c r="B156" s="89" t="s">
        <v>34</v>
      </c>
      <c r="C156" s="89">
        <v>4.0</v>
      </c>
      <c r="D156" s="89">
        <v>2017.0</v>
      </c>
      <c r="E156" s="74">
        <v>0.72</v>
      </c>
      <c r="F156" s="74">
        <v>112.7</v>
      </c>
      <c r="G156" s="74">
        <v>35.5</v>
      </c>
      <c r="H156" s="74">
        <v>188.8</v>
      </c>
      <c r="I156" s="74">
        <v>54262.0</v>
      </c>
      <c r="J156" s="74">
        <v>106.8</v>
      </c>
      <c r="K156" s="74">
        <v>25.0</v>
      </c>
      <c r="L156" s="74">
        <v>5.5</v>
      </c>
      <c r="M156" s="74">
        <v>14.8</v>
      </c>
      <c r="N156" s="28" t="s">
        <v>213</v>
      </c>
    </row>
    <row r="157" ht="12.75" customHeight="1">
      <c r="A157" s="89">
        <v>20.0</v>
      </c>
      <c r="B157" s="89" t="s">
        <v>34</v>
      </c>
      <c r="C157" s="89">
        <v>4.0</v>
      </c>
      <c r="D157" s="89">
        <v>2018.0</v>
      </c>
      <c r="E157" s="76">
        <v>0.75</v>
      </c>
      <c r="F157" s="76">
        <v>108.2</v>
      </c>
      <c r="G157" s="76">
        <v>40.8</v>
      </c>
      <c r="H157" s="76">
        <v>190.5</v>
      </c>
      <c r="I157" s="76">
        <v>57644.0</v>
      </c>
      <c r="J157" s="76">
        <v>105.5</v>
      </c>
      <c r="K157" s="76">
        <v>21.6</v>
      </c>
      <c r="L157" s="76">
        <v>5.8</v>
      </c>
      <c r="M157" s="76">
        <v>13.5</v>
      </c>
      <c r="N157" s="20" t="s">
        <v>214</v>
      </c>
    </row>
    <row r="158" ht="12.75" customHeight="1">
      <c r="A158" s="89">
        <v>20.0</v>
      </c>
      <c r="B158" s="89" t="s">
        <v>34</v>
      </c>
      <c r="C158" s="89">
        <v>4.0</v>
      </c>
      <c r="D158" s="89">
        <v>2019.0</v>
      </c>
      <c r="E158" s="74">
        <v>0.78</v>
      </c>
      <c r="F158" s="74">
        <v>114.5</v>
      </c>
      <c r="G158" s="74">
        <v>53.0</v>
      </c>
      <c r="H158" s="74">
        <v>192.2</v>
      </c>
      <c r="I158" s="74">
        <v>61589.0</v>
      </c>
      <c r="J158" s="74">
        <v>107.2</v>
      </c>
      <c r="K158" s="74">
        <v>26.6</v>
      </c>
      <c r="L158" s="74">
        <v>6.2</v>
      </c>
      <c r="M158" s="74">
        <v>12.2</v>
      </c>
      <c r="N158" s="28" t="s">
        <v>215</v>
      </c>
    </row>
    <row r="159" ht="12.75" customHeight="1">
      <c r="A159" s="89">
        <v>20.0</v>
      </c>
      <c r="B159" s="89" t="s">
        <v>34</v>
      </c>
      <c r="C159" s="89">
        <v>4.0</v>
      </c>
      <c r="D159" s="89">
        <v>2020.0</v>
      </c>
      <c r="E159" s="76">
        <v>0.82</v>
      </c>
      <c r="F159" s="76">
        <v>111.2</v>
      </c>
      <c r="G159" s="76">
        <v>105.3</v>
      </c>
      <c r="H159" s="76">
        <v>194.0</v>
      </c>
      <c r="I159" s="76">
        <v>71069.0</v>
      </c>
      <c r="J159" s="76">
        <v>108.5</v>
      </c>
      <c r="K159" s="76">
        <v>36.6</v>
      </c>
      <c r="L159" s="76">
        <v>6.5</v>
      </c>
      <c r="M159" s="76">
        <v>11.5</v>
      </c>
      <c r="N159" s="91" t="s">
        <v>216</v>
      </c>
    </row>
    <row r="160" ht="12.75" customHeight="1">
      <c r="A160" s="89">
        <v>20.0</v>
      </c>
      <c r="B160" s="89" t="s">
        <v>34</v>
      </c>
      <c r="C160" s="89">
        <v>4.0</v>
      </c>
      <c r="D160" s="89">
        <v>2021.0</v>
      </c>
      <c r="E160" s="74">
        <v>0.85</v>
      </c>
      <c r="F160" s="74">
        <v>110.8</v>
      </c>
      <c r="G160" s="74">
        <v>80.3</v>
      </c>
      <c r="H160" s="74">
        <v>195.8</v>
      </c>
      <c r="I160" s="74">
        <v>79568.0</v>
      </c>
      <c r="J160" s="74">
        <v>110.2</v>
      </c>
      <c r="K160" s="74">
        <v>48.5</v>
      </c>
      <c r="L160" s="74">
        <v>6.8</v>
      </c>
      <c r="M160" s="74">
        <v>10.8</v>
      </c>
      <c r="N160" s="28" t="s">
        <v>217</v>
      </c>
    </row>
    <row r="161" ht="12.75" customHeight="1">
      <c r="A161" s="89">
        <v>20.0</v>
      </c>
      <c r="B161" s="89" t="s">
        <v>34</v>
      </c>
      <c r="C161" s="89">
        <v>4.0</v>
      </c>
      <c r="D161" s="89">
        <v>2022.0</v>
      </c>
      <c r="E161" s="76">
        <v>0.88</v>
      </c>
      <c r="F161" s="76">
        <v>108.5</v>
      </c>
      <c r="G161" s="76">
        <v>95.5</v>
      </c>
      <c r="H161" s="76">
        <v>197.5</v>
      </c>
      <c r="I161" s="76">
        <v>87532.0</v>
      </c>
      <c r="J161" s="76">
        <v>111.5</v>
      </c>
      <c r="K161" s="76">
        <v>31.3</v>
      </c>
      <c r="L161" s="76">
        <v>7.2</v>
      </c>
      <c r="M161" s="76">
        <v>11.2</v>
      </c>
      <c r="N161" s="20" t="s">
        <v>218</v>
      </c>
    </row>
    <row r="162" ht="12.75" customHeight="1">
      <c r="A162" s="89">
        <v>20.0</v>
      </c>
      <c r="B162" s="89" t="s">
        <v>34</v>
      </c>
      <c r="C162" s="89">
        <v>4.0</v>
      </c>
      <c r="D162" s="89">
        <v>2023.0</v>
      </c>
      <c r="E162" s="74">
        <v>0.92</v>
      </c>
      <c r="F162" s="74">
        <v>109.2</v>
      </c>
      <c r="G162" s="74">
        <v>110.2</v>
      </c>
      <c r="H162" s="74">
        <v>199.2</v>
      </c>
      <c r="I162" s="74">
        <v>98414.0</v>
      </c>
      <c r="J162" s="74">
        <v>112.8</v>
      </c>
      <c r="K162" s="74">
        <v>29.8</v>
      </c>
      <c r="L162" s="74">
        <v>7.5</v>
      </c>
      <c r="M162" s="74">
        <v>12.5</v>
      </c>
      <c r="N162" s="90" t="s">
        <v>219</v>
      </c>
    </row>
    <row r="163" ht="12.75" customHeight="1">
      <c r="A163" s="89">
        <v>20.0</v>
      </c>
      <c r="B163" s="89" t="s">
        <v>34</v>
      </c>
      <c r="C163" s="89">
        <v>4.0</v>
      </c>
      <c r="D163" s="89">
        <v>2024.0</v>
      </c>
      <c r="E163" s="76">
        <v>0.95</v>
      </c>
      <c r="F163" s="76">
        <v>107.8</v>
      </c>
      <c r="G163" s="76">
        <v>125.8</v>
      </c>
      <c r="H163" s="76">
        <v>201.0</v>
      </c>
      <c r="I163" s="76">
        <v>114883.0</v>
      </c>
      <c r="J163" s="76">
        <v>114.0</v>
      </c>
      <c r="K163" s="76">
        <v>29.3</v>
      </c>
      <c r="L163" s="76">
        <v>5.5</v>
      </c>
      <c r="M163" s="76">
        <v>13.8</v>
      </c>
      <c r="N163" s="20"/>
    </row>
    <row r="164" ht="12.75" customHeight="1">
      <c r="A164" s="89">
        <v>21.0</v>
      </c>
      <c r="B164" s="89" t="s">
        <v>36</v>
      </c>
      <c r="C164" s="89">
        <v>4.0</v>
      </c>
      <c r="D164" s="89">
        <v>2015.0</v>
      </c>
      <c r="E164" s="74">
        <v>27.0</v>
      </c>
      <c r="F164" s="74">
        <v>94.6</v>
      </c>
      <c r="G164" s="74">
        <v>2285.2</v>
      </c>
      <c r="H164" s="74">
        <v>6920.5</v>
      </c>
      <c r="I164" s="74">
        <v>31910.0</v>
      </c>
      <c r="J164" s="74">
        <v>98.5</v>
      </c>
      <c r="K164" s="74">
        <v>9.8</v>
      </c>
      <c r="L164" s="74">
        <v>3.2</v>
      </c>
      <c r="M164" s="74">
        <v>32.5</v>
      </c>
      <c r="N164" s="90" t="s">
        <v>219</v>
      </c>
    </row>
    <row r="165" ht="12.75" customHeight="1">
      <c r="A165" s="89">
        <v>21.0</v>
      </c>
      <c r="B165" s="89" t="s">
        <v>36</v>
      </c>
      <c r="C165" s="89">
        <v>4.0</v>
      </c>
      <c r="D165" s="89">
        <v>2016.0</v>
      </c>
      <c r="E165" s="76">
        <v>27.2</v>
      </c>
      <c r="F165" s="76">
        <v>98.7</v>
      </c>
      <c r="G165" s="76">
        <v>2103.3</v>
      </c>
      <c r="H165" s="76">
        <v>6910.2</v>
      </c>
      <c r="I165" s="76">
        <v>34562.0</v>
      </c>
      <c r="J165" s="76">
        <v>99.8</v>
      </c>
      <c r="K165" s="76">
        <v>10.5</v>
      </c>
      <c r="L165" s="76">
        <v>3.5</v>
      </c>
      <c r="M165" s="76">
        <v>30.8</v>
      </c>
      <c r="N165" s="20" t="s">
        <v>220</v>
      </c>
    </row>
    <row r="166" ht="12.75" customHeight="1">
      <c r="A166" s="89">
        <v>21.0</v>
      </c>
      <c r="B166" s="89" t="s">
        <v>36</v>
      </c>
      <c r="C166" s="89">
        <v>4.0</v>
      </c>
      <c r="D166" s="89">
        <v>2017.0</v>
      </c>
      <c r="E166" s="74">
        <v>27.5</v>
      </c>
      <c r="F166" s="74">
        <v>102.6</v>
      </c>
      <c r="G166" s="74">
        <v>2296.5</v>
      </c>
      <c r="H166" s="74">
        <v>6896.6</v>
      </c>
      <c r="I166" s="74">
        <v>38502.0</v>
      </c>
      <c r="J166" s="74">
        <v>100.7</v>
      </c>
      <c r="K166" s="74">
        <v>10.9</v>
      </c>
      <c r="L166" s="74">
        <v>3.8</v>
      </c>
      <c r="M166" s="74">
        <v>28.5</v>
      </c>
      <c r="N166" s="28" t="s">
        <v>221</v>
      </c>
    </row>
    <row r="167" ht="12.75" customHeight="1">
      <c r="A167" s="89">
        <v>21.0</v>
      </c>
      <c r="B167" s="89" t="s">
        <v>36</v>
      </c>
      <c r="C167" s="89">
        <v>4.0</v>
      </c>
      <c r="D167" s="89">
        <v>2018.0</v>
      </c>
      <c r="E167" s="76">
        <v>27.8</v>
      </c>
      <c r="F167" s="76">
        <v>102.5</v>
      </c>
      <c r="G167" s="76">
        <v>2513.2</v>
      </c>
      <c r="H167" s="76">
        <v>6880.4</v>
      </c>
      <c r="I167" s="76">
        <v>40722.0</v>
      </c>
      <c r="J167" s="76">
        <v>101.5</v>
      </c>
      <c r="K167" s="76">
        <v>12.0</v>
      </c>
      <c r="L167" s="76">
        <v>4.0</v>
      </c>
      <c r="M167" s="76">
        <v>26.2</v>
      </c>
      <c r="N167" s="20" t="s">
        <v>222</v>
      </c>
    </row>
    <row r="168" ht="12.75" customHeight="1">
      <c r="A168" s="89">
        <v>21.0</v>
      </c>
      <c r="B168" s="89" t="s">
        <v>36</v>
      </c>
      <c r="C168" s="89">
        <v>4.0</v>
      </c>
      <c r="D168" s="89">
        <v>2019.0</v>
      </c>
      <c r="E168" s="74">
        <v>28.0</v>
      </c>
      <c r="F168" s="74">
        <v>102.6</v>
      </c>
      <c r="G168" s="74">
        <v>2707.6</v>
      </c>
      <c r="H168" s="74">
        <v>6865.0</v>
      </c>
      <c r="I168" s="74">
        <v>44250.0</v>
      </c>
      <c r="J168" s="74">
        <v>102.0</v>
      </c>
      <c r="K168" s="74">
        <v>11.5</v>
      </c>
      <c r="L168" s="74">
        <v>4.2</v>
      </c>
      <c r="M168" s="74">
        <v>24.8</v>
      </c>
      <c r="N168" s="90" t="s">
        <v>223</v>
      </c>
    </row>
    <row r="169" ht="12.75" customHeight="1">
      <c r="A169" s="89">
        <v>21.0</v>
      </c>
      <c r="B169" s="89" t="s">
        <v>36</v>
      </c>
      <c r="C169" s="89">
        <v>4.0</v>
      </c>
      <c r="D169" s="89">
        <v>2020.0</v>
      </c>
      <c r="E169" s="76">
        <v>27.5</v>
      </c>
      <c r="F169" s="76">
        <v>101.3</v>
      </c>
      <c r="G169" s="76">
        <v>2984.2</v>
      </c>
      <c r="H169" s="76">
        <v>6684.5</v>
      </c>
      <c r="I169" s="76">
        <v>46510.0</v>
      </c>
      <c r="J169" s="76">
        <v>104.1</v>
      </c>
      <c r="K169" s="76">
        <v>11.6</v>
      </c>
      <c r="L169" s="76">
        <v>4.5</v>
      </c>
      <c r="M169" s="76">
        <v>28.5</v>
      </c>
      <c r="N169" s="91" t="s">
        <v>224</v>
      </c>
    </row>
    <row r="170" ht="12.75" customHeight="1">
      <c r="A170" s="89">
        <v>21.0</v>
      </c>
      <c r="B170" s="89" t="s">
        <v>36</v>
      </c>
      <c r="C170" s="89">
        <v>4.0</v>
      </c>
      <c r="D170" s="89">
        <v>2021.0</v>
      </c>
      <c r="E170" s="74">
        <v>30.8</v>
      </c>
      <c r="F170" s="74">
        <v>107.4</v>
      </c>
      <c r="G170" s="74">
        <v>3428.0</v>
      </c>
      <c r="H170" s="74">
        <v>6642.5</v>
      </c>
      <c r="I170" s="74">
        <v>52410.0</v>
      </c>
      <c r="J170" s="74">
        <v>102.5</v>
      </c>
      <c r="K170" s="74">
        <v>16.2</v>
      </c>
      <c r="L170" s="74">
        <v>4.8</v>
      </c>
      <c r="M170" s="74">
        <v>23.9</v>
      </c>
      <c r="N170" s="90" t="s">
        <v>225</v>
      </c>
    </row>
    <row r="171" ht="12.75" customHeight="1">
      <c r="A171" s="89">
        <v>21.0</v>
      </c>
      <c r="B171" s="89" t="s">
        <v>36</v>
      </c>
      <c r="C171" s="89">
        <v>4.0</v>
      </c>
      <c r="D171" s="89">
        <v>2022.0</v>
      </c>
      <c r="E171" s="76">
        <v>30.6</v>
      </c>
      <c r="F171" s="76">
        <v>100.3</v>
      </c>
      <c r="G171" s="76">
        <v>3806.9</v>
      </c>
      <c r="H171" s="76">
        <v>6675.7</v>
      </c>
      <c r="I171" s="76">
        <v>60439.0</v>
      </c>
      <c r="J171" s="76">
        <v>97.5</v>
      </c>
      <c r="K171" s="76">
        <v>16.3</v>
      </c>
      <c r="L171" s="76">
        <v>5.2</v>
      </c>
      <c r="M171" s="76">
        <v>23.0</v>
      </c>
      <c r="N171" s="91" t="s">
        <v>226</v>
      </c>
    </row>
    <row r="172" ht="12.75" customHeight="1">
      <c r="A172" s="89">
        <v>21.0</v>
      </c>
      <c r="B172" s="89" t="s">
        <v>36</v>
      </c>
      <c r="C172" s="89">
        <v>4.0</v>
      </c>
      <c r="D172" s="89">
        <v>2023.0</v>
      </c>
      <c r="E172" s="74">
        <v>28.7</v>
      </c>
      <c r="F172" s="74">
        <v>108.7</v>
      </c>
      <c r="G172" s="74">
        <v>4915.9</v>
      </c>
      <c r="H172" s="74">
        <v>6854.7</v>
      </c>
      <c r="I172" s="74">
        <v>71885.0</v>
      </c>
      <c r="J172" s="74">
        <v>104.5</v>
      </c>
      <c r="K172" s="74">
        <v>16.3</v>
      </c>
      <c r="L172" s="74">
        <v>5.5</v>
      </c>
      <c r="M172" s="74">
        <v>21.4</v>
      </c>
      <c r="N172" s="90" t="s">
        <v>227</v>
      </c>
    </row>
    <row r="173" ht="12.75" customHeight="1">
      <c r="A173" s="89">
        <v>21.0</v>
      </c>
      <c r="B173" s="89" t="s">
        <v>36</v>
      </c>
      <c r="C173" s="89">
        <v>4.0</v>
      </c>
      <c r="D173" s="89">
        <v>2024.0</v>
      </c>
      <c r="E173" s="76">
        <v>28.9</v>
      </c>
      <c r="F173" s="76">
        <v>109.8</v>
      </c>
      <c r="G173" s="76">
        <v>6338.8</v>
      </c>
      <c r="H173" s="76">
        <v>7141.2</v>
      </c>
      <c r="I173" s="76">
        <v>87975.0</v>
      </c>
      <c r="J173" s="76">
        <v>104.3</v>
      </c>
      <c r="K173" s="76">
        <v>13.9</v>
      </c>
      <c r="L173" s="76">
        <v>5.8</v>
      </c>
      <c r="M173" s="76">
        <v>21.7</v>
      </c>
      <c r="N173" s="20"/>
    </row>
    <row r="174" ht="12.75" customHeight="1">
      <c r="A174" s="89">
        <v>22.0</v>
      </c>
      <c r="B174" s="89" t="s">
        <v>57</v>
      </c>
      <c r="C174" s="89">
        <v>4.0</v>
      </c>
      <c r="D174" s="89">
        <v>2015.0</v>
      </c>
      <c r="E174" s="74">
        <v>0.52</v>
      </c>
      <c r="F174" s="74">
        <v>98.4</v>
      </c>
      <c r="G174" s="74">
        <v>990.5</v>
      </c>
      <c r="H174" s="74">
        <v>2560.0</v>
      </c>
      <c r="I174" s="74">
        <v>36865.0</v>
      </c>
      <c r="J174" s="74">
        <v>99.2</v>
      </c>
      <c r="K174" s="84" t="s">
        <v>162</v>
      </c>
      <c r="L174" s="84" t="s">
        <v>162</v>
      </c>
      <c r="M174" s="84" t="s">
        <v>162</v>
      </c>
      <c r="N174" s="92" t="s">
        <v>228</v>
      </c>
    </row>
    <row r="175" ht="12.75" customHeight="1">
      <c r="A175" s="89">
        <v>22.0</v>
      </c>
      <c r="B175" s="89" t="s">
        <v>57</v>
      </c>
      <c r="C175" s="89">
        <v>4.0</v>
      </c>
      <c r="D175" s="89">
        <v>2016.0</v>
      </c>
      <c r="E175" s="76">
        <v>0.51</v>
      </c>
      <c r="F175" s="76">
        <v>95.2</v>
      </c>
      <c r="G175" s="76">
        <v>1014.0</v>
      </c>
      <c r="H175" s="85" t="s">
        <v>162</v>
      </c>
      <c r="I175" s="76">
        <v>31586.0</v>
      </c>
      <c r="J175" s="76">
        <v>98.5</v>
      </c>
      <c r="K175" s="85" t="s">
        <v>162</v>
      </c>
      <c r="L175" s="76">
        <v>9.2</v>
      </c>
      <c r="M175" s="85" t="s">
        <v>162</v>
      </c>
      <c r="N175" s="91" t="s">
        <v>229</v>
      </c>
    </row>
    <row r="176" ht="12.75" customHeight="1">
      <c r="A176" s="89">
        <v>22.0</v>
      </c>
      <c r="B176" s="89" t="s">
        <v>57</v>
      </c>
      <c r="C176" s="89">
        <v>4.0</v>
      </c>
      <c r="D176" s="89">
        <v>2017.0</v>
      </c>
      <c r="E176" s="74">
        <v>0.5</v>
      </c>
      <c r="F176" s="74">
        <v>100.8</v>
      </c>
      <c r="G176" s="74">
        <v>1091.4</v>
      </c>
      <c r="H176" s="74">
        <v>2378.0</v>
      </c>
      <c r="I176" s="74">
        <v>39167.0</v>
      </c>
      <c r="J176" s="74">
        <v>100.3</v>
      </c>
      <c r="K176" s="74">
        <v>8.3</v>
      </c>
      <c r="L176" s="74">
        <v>9.4</v>
      </c>
      <c r="M176" s="84" t="s">
        <v>162</v>
      </c>
      <c r="N176" s="90" t="s">
        <v>230</v>
      </c>
    </row>
    <row r="177" ht="12.75" customHeight="1">
      <c r="A177" s="89">
        <v>22.0</v>
      </c>
      <c r="B177" s="89" t="s">
        <v>57</v>
      </c>
      <c r="C177" s="89">
        <v>4.0</v>
      </c>
      <c r="D177" s="89">
        <v>2018.0</v>
      </c>
      <c r="E177" s="76">
        <v>0.47</v>
      </c>
      <c r="F177" s="76">
        <v>97.9</v>
      </c>
      <c r="G177" s="76">
        <v>1173.0</v>
      </c>
      <c r="H177" s="76">
        <v>2343.0</v>
      </c>
      <c r="I177" s="76">
        <v>43724.0</v>
      </c>
      <c r="J177" s="76">
        <v>99.1</v>
      </c>
      <c r="K177" s="76">
        <v>8.5</v>
      </c>
      <c r="L177" s="76">
        <v>9.5</v>
      </c>
      <c r="M177" s="85" t="s">
        <v>162</v>
      </c>
      <c r="N177" s="93" t="s">
        <v>231</v>
      </c>
    </row>
    <row r="178" ht="12.75" customHeight="1">
      <c r="A178" s="89">
        <v>22.0</v>
      </c>
      <c r="B178" s="89" t="s">
        <v>57</v>
      </c>
      <c r="C178" s="89">
        <v>4.0</v>
      </c>
      <c r="D178" s="89">
        <v>2019.0</v>
      </c>
      <c r="E178" s="74">
        <v>0.49</v>
      </c>
      <c r="F178" s="74">
        <v>102.0</v>
      </c>
      <c r="G178" s="74">
        <v>1217.5</v>
      </c>
      <c r="H178" s="74">
        <v>2308.0</v>
      </c>
      <c r="I178" s="74">
        <v>47867.0</v>
      </c>
      <c r="J178" s="74">
        <v>106.0</v>
      </c>
      <c r="K178" s="74">
        <v>8.9</v>
      </c>
      <c r="L178" s="74">
        <v>9.7</v>
      </c>
      <c r="M178" s="84" t="s">
        <v>162</v>
      </c>
      <c r="N178" s="28"/>
    </row>
    <row r="179" ht="12.75" customHeight="1">
      <c r="A179" s="89">
        <v>22.0</v>
      </c>
      <c r="B179" s="89" t="s">
        <v>57</v>
      </c>
      <c r="C179" s="89">
        <v>4.0</v>
      </c>
      <c r="D179" s="89">
        <v>2020.0</v>
      </c>
      <c r="E179" s="76">
        <v>0.47</v>
      </c>
      <c r="F179" s="76">
        <v>98.5</v>
      </c>
      <c r="G179" s="76">
        <v>1392.2</v>
      </c>
      <c r="H179" s="76">
        <v>2275.0</v>
      </c>
      <c r="I179" s="76">
        <v>51344.0</v>
      </c>
      <c r="J179" s="76">
        <v>104.6</v>
      </c>
      <c r="K179" s="76">
        <v>8.3</v>
      </c>
      <c r="L179" s="76">
        <v>9.9</v>
      </c>
      <c r="M179" s="85" t="s">
        <v>162</v>
      </c>
      <c r="N179" s="91" t="s">
        <v>232</v>
      </c>
    </row>
    <row r="180" ht="12.75" customHeight="1">
      <c r="A180" s="89">
        <v>22.0</v>
      </c>
      <c r="B180" s="89" t="s">
        <v>57</v>
      </c>
      <c r="C180" s="89">
        <v>4.0</v>
      </c>
      <c r="D180" s="89">
        <v>2021.0</v>
      </c>
      <c r="E180" s="74">
        <v>0.46</v>
      </c>
      <c r="F180" s="74">
        <v>101.2</v>
      </c>
      <c r="G180" s="74">
        <v>1400.2</v>
      </c>
      <c r="H180" s="74">
        <v>2292.0</v>
      </c>
      <c r="I180" s="74">
        <v>57244.0</v>
      </c>
      <c r="J180" s="74">
        <v>109.2</v>
      </c>
      <c r="K180" s="74">
        <v>9.4</v>
      </c>
      <c r="L180" s="74">
        <v>9.6</v>
      </c>
      <c r="M180" s="84" t="s">
        <v>162</v>
      </c>
      <c r="N180" s="90" t="s">
        <v>233</v>
      </c>
    </row>
    <row r="181" ht="12.75" customHeight="1">
      <c r="A181" s="89">
        <v>22.0</v>
      </c>
      <c r="B181" s="89" t="s">
        <v>57</v>
      </c>
      <c r="C181" s="89">
        <v>4.0</v>
      </c>
      <c r="D181" s="89">
        <v>2022.0</v>
      </c>
      <c r="E181" s="76">
        <v>0.45</v>
      </c>
      <c r="F181" s="76">
        <v>99.8</v>
      </c>
      <c r="G181" s="76">
        <v>1694.2</v>
      </c>
      <c r="H181" s="76">
        <v>2284.0</v>
      </c>
      <c r="I181" s="76">
        <v>65338.0</v>
      </c>
      <c r="J181" s="76">
        <v>102.4</v>
      </c>
      <c r="K181" s="76">
        <v>9.7</v>
      </c>
      <c r="L181" s="76">
        <v>9.3</v>
      </c>
      <c r="M181" s="85" t="s">
        <v>162</v>
      </c>
      <c r="N181" s="20" t="s">
        <v>234</v>
      </c>
    </row>
    <row r="182" ht="12.75" customHeight="1">
      <c r="A182" s="89">
        <v>22.0</v>
      </c>
      <c r="B182" s="89" t="s">
        <v>57</v>
      </c>
      <c r="C182" s="89">
        <v>4.0</v>
      </c>
      <c r="D182" s="89">
        <v>2023.0</v>
      </c>
      <c r="E182" s="74">
        <v>0.44</v>
      </c>
      <c r="F182" s="74">
        <v>100.5</v>
      </c>
      <c r="G182" s="74">
        <v>2198.6</v>
      </c>
      <c r="H182" s="74">
        <v>2256.0</v>
      </c>
      <c r="I182" s="74">
        <v>74854.0</v>
      </c>
      <c r="J182" s="74">
        <v>101.8</v>
      </c>
      <c r="K182" s="74">
        <v>10.6</v>
      </c>
      <c r="L182" s="74">
        <v>9.1</v>
      </c>
      <c r="M182" s="84" t="s">
        <v>162</v>
      </c>
      <c r="N182" s="90" t="s">
        <v>235</v>
      </c>
    </row>
    <row r="183" ht="12.75" customHeight="1">
      <c r="A183" s="89">
        <v>22.0</v>
      </c>
      <c r="B183" s="89" t="s">
        <v>57</v>
      </c>
      <c r="C183" s="89">
        <v>4.0</v>
      </c>
      <c r="D183" s="89">
        <v>2024.0</v>
      </c>
      <c r="E183" s="76">
        <v>0.43</v>
      </c>
      <c r="F183" s="76">
        <v>101.1</v>
      </c>
      <c r="G183" s="76">
        <v>2566.0</v>
      </c>
      <c r="H183" s="76">
        <v>2190.0</v>
      </c>
      <c r="I183" s="76">
        <v>85017.0</v>
      </c>
      <c r="J183" s="76">
        <v>103.2</v>
      </c>
      <c r="K183" s="76">
        <v>9.8</v>
      </c>
      <c r="L183" s="76">
        <v>8.9</v>
      </c>
      <c r="M183" s="85" t="s">
        <v>162</v>
      </c>
      <c r="N183" s="91" t="s">
        <v>236</v>
      </c>
    </row>
    <row r="184" ht="12.75" customHeight="1">
      <c r="A184" s="89">
        <v>23.0</v>
      </c>
      <c r="B184" s="89" t="s">
        <v>50</v>
      </c>
      <c r="C184" s="89">
        <v>4.0</v>
      </c>
      <c r="D184" s="89">
        <v>2015.0</v>
      </c>
      <c r="E184" s="74">
        <v>3.3</v>
      </c>
      <c r="F184" s="74">
        <v>97.5</v>
      </c>
      <c r="G184" s="74">
        <v>231.7</v>
      </c>
      <c r="H184" s="74">
        <v>1043.266</v>
      </c>
      <c r="I184" s="74">
        <v>37714.0</v>
      </c>
      <c r="J184" s="74">
        <v>101.2</v>
      </c>
      <c r="K184" s="74">
        <v>8.5</v>
      </c>
      <c r="L184" s="74">
        <v>30.1</v>
      </c>
      <c r="M184" s="74">
        <v>14.07</v>
      </c>
      <c r="N184" s="28" t="s">
        <v>237</v>
      </c>
    </row>
    <row r="185" ht="12.75" customHeight="1">
      <c r="A185" s="89">
        <v>23.0</v>
      </c>
      <c r="B185" s="89" t="s">
        <v>50</v>
      </c>
      <c r="C185" s="89">
        <v>4.0</v>
      </c>
      <c r="D185" s="89">
        <v>2016.0</v>
      </c>
      <c r="E185" s="76">
        <v>3.4</v>
      </c>
      <c r="F185" s="76">
        <v>98.2</v>
      </c>
      <c r="G185" s="76">
        <v>370.9</v>
      </c>
      <c r="H185" s="76">
        <v>1273.74</v>
      </c>
      <c r="I185" s="76">
        <v>40044.0</v>
      </c>
      <c r="J185" s="76">
        <v>102.5</v>
      </c>
      <c r="K185" s="76">
        <v>9.2</v>
      </c>
      <c r="L185" s="76">
        <v>31.12</v>
      </c>
      <c r="M185" s="76">
        <v>19.17</v>
      </c>
      <c r="N185" s="93" t="s">
        <v>238</v>
      </c>
    </row>
    <row r="186" ht="12.75" customHeight="1">
      <c r="A186" s="89">
        <v>23.0</v>
      </c>
      <c r="B186" s="89" t="s">
        <v>50</v>
      </c>
      <c r="C186" s="89">
        <v>4.0</v>
      </c>
      <c r="D186" s="89">
        <v>2017.0</v>
      </c>
      <c r="E186" s="74">
        <v>2.7</v>
      </c>
      <c r="F186" s="74">
        <v>101.5</v>
      </c>
      <c r="G186" s="74">
        <v>323.8</v>
      </c>
      <c r="H186" s="74">
        <v>1231.779</v>
      </c>
      <c r="I186" s="74">
        <v>42947.0</v>
      </c>
      <c r="J186" s="74">
        <v>103.8</v>
      </c>
      <c r="K186" s="74">
        <v>10.5</v>
      </c>
      <c r="L186" s="74">
        <v>27.29</v>
      </c>
      <c r="M186" s="74">
        <v>19.26</v>
      </c>
      <c r="N186" s="90" t="s">
        <v>239</v>
      </c>
    </row>
    <row r="187" ht="12.75" customHeight="1">
      <c r="A187" s="89">
        <v>23.0</v>
      </c>
      <c r="B187" s="89" t="s">
        <v>50</v>
      </c>
      <c r="C187" s="89">
        <v>4.0</v>
      </c>
      <c r="D187" s="89">
        <v>2018.0</v>
      </c>
      <c r="E187" s="76">
        <v>2.7</v>
      </c>
      <c r="F187" s="76">
        <v>103.2</v>
      </c>
      <c r="G187" s="76">
        <v>313.1</v>
      </c>
      <c r="H187" s="76">
        <v>1191.4645</v>
      </c>
      <c r="I187" s="76">
        <v>46160.0</v>
      </c>
      <c r="J187" s="76">
        <v>104.2</v>
      </c>
      <c r="K187" s="76">
        <v>11.8</v>
      </c>
      <c r="L187" s="76">
        <v>32.63</v>
      </c>
      <c r="M187" s="76">
        <v>31.69</v>
      </c>
      <c r="N187" s="91" t="s">
        <v>240</v>
      </c>
    </row>
    <row r="188" ht="12.75" customHeight="1">
      <c r="A188" s="89">
        <v>23.0</v>
      </c>
      <c r="B188" s="89" t="s">
        <v>50</v>
      </c>
      <c r="C188" s="89">
        <v>4.0</v>
      </c>
      <c r="D188" s="89">
        <v>2019.0</v>
      </c>
      <c r="E188" s="74">
        <v>2.8</v>
      </c>
      <c r="F188" s="74">
        <v>101.8</v>
      </c>
      <c r="G188" s="74">
        <v>348.9</v>
      </c>
      <c r="H188" s="74">
        <v>1166.349917</v>
      </c>
      <c r="I188" s="74">
        <v>51580.0</v>
      </c>
      <c r="J188" s="74">
        <v>105.1</v>
      </c>
      <c r="K188" s="74">
        <v>12.5</v>
      </c>
      <c r="L188" s="74">
        <v>32.64</v>
      </c>
      <c r="M188" s="74">
        <v>30.67</v>
      </c>
      <c r="N188" s="90" t="s">
        <v>241</v>
      </c>
    </row>
    <row r="189" ht="12.75" customHeight="1">
      <c r="A189" s="89">
        <v>23.0</v>
      </c>
      <c r="B189" s="89" t="s">
        <v>50</v>
      </c>
      <c r="C189" s="89">
        <v>4.0</v>
      </c>
      <c r="D189" s="89">
        <v>2020.0</v>
      </c>
      <c r="E189" s="76">
        <v>2.4</v>
      </c>
      <c r="F189" s="76">
        <v>78.5</v>
      </c>
      <c r="G189" s="76">
        <v>359.5</v>
      </c>
      <c r="H189" s="76">
        <v>1179.697</v>
      </c>
      <c r="I189" s="76">
        <v>54185.0</v>
      </c>
      <c r="J189" s="76">
        <v>96.8</v>
      </c>
      <c r="K189" s="76">
        <v>5.8</v>
      </c>
      <c r="L189" s="76">
        <v>30.4</v>
      </c>
      <c r="M189" s="76">
        <v>30.0</v>
      </c>
      <c r="N189" s="91" t="s">
        <v>242</v>
      </c>
    </row>
    <row r="190" ht="12.75" customHeight="1">
      <c r="A190" s="89">
        <v>23.0</v>
      </c>
      <c r="B190" s="89" t="s">
        <v>50</v>
      </c>
      <c r="C190" s="89">
        <v>4.0</v>
      </c>
      <c r="D190" s="89">
        <v>2021.0</v>
      </c>
      <c r="E190" s="74">
        <v>2.6</v>
      </c>
      <c r="F190" s="74">
        <v>95.2</v>
      </c>
      <c r="G190" s="74">
        <v>350.4</v>
      </c>
      <c r="H190" s="74">
        <v>1146.426</v>
      </c>
      <c r="I190" s="74">
        <v>52985.0</v>
      </c>
      <c r="J190" s="74">
        <v>98.5</v>
      </c>
      <c r="K190" s="74">
        <v>8.2</v>
      </c>
      <c r="L190" s="74">
        <v>34.39</v>
      </c>
      <c r="M190" s="74">
        <v>42.72</v>
      </c>
      <c r="N190" s="90" t="s">
        <v>243</v>
      </c>
    </row>
    <row r="191" ht="12.75" customHeight="1">
      <c r="A191" s="89">
        <v>23.0</v>
      </c>
      <c r="B191" s="89" t="s">
        <v>50</v>
      </c>
      <c r="C191" s="89">
        <v>4.0</v>
      </c>
      <c r="D191" s="89">
        <v>2022.0</v>
      </c>
      <c r="E191" s="76">
        <v>2.6</v>
      </c>
      <c r="F191" s="76">
        <v>102.8</v>
      </c>
      <c r="G191" s="76">
        <v>386.2</v>
      </c>
      <c r="H191" s="76">
        <v>1161.86</v>
      </c>
      <c r="I191" s="76">
        <v>59234.0</v>
      </c>
      <c r="J191" s="76">
        <v>103.2</v>
      </c>
      <c r="K191" s="76">
        <v>12.5</v>
      </c>
      <c r="L191" s="76">
        <v>32.58</v>
      </c>
      <c r="M191" s="76">
        <v>31.87</v>
      </c>
      <c r="N191" s="91" t="s">
        <v>244</v>
      </c>
    </row>
    <row r="192" ht="12.75" customHeight="1">
      <c r="A192" s="89">
        <v>23.0</v>
      </c>
      <c r="B192" s="89" t="s">
        <v>50</v>
      </c>
      <c r="C192" s="89">
        <v>4.0</v>
      </c>
      <c r="D192" s="89">
        <v>2023.0</v>
      </c>
      <c r="E192" s="74">
        <v>2.8</v>
      </c>
      <c r="F192" s="74">
        <v>112.5</v>
      </c>
      <c r="G192" s="74">
        <v>595.8</v>
      </c>
      <c r="H192" s="74">
        <v>1137.17</v>
      </c>
      <c r="I192" s="74">
        <v>66420.0</v>
      </c>
      <c r="J192" s="74">
        <v>108.5</v>
      </c>
      <c r="K192" s="74">
        <v>14.8</v>
      </c>
      <c r="L192" s="74">
        <v>29.85</v>
      </c>
      <c r="M192" s="74">
        <v>28.54</v>
      </c>
      <c r="N192" s="28"/>
    </row>
    <row r="193" ht="12.75" customHeight="1">
      <c r="A193" s="89">
        <v>23.0</v>
      </c>
      <c r="B193" s="89" t="s">
        <v>50</v>
      </c>
      <c r="C193" s="89">
        <v>4.0</v>
      </c>
      <c r="D193" s="89">
        <v>2024.0</v>
      </c>
      <c r="E193" s="76">
        <v>2.9</v>
      </c>
      <c r="F193" s="76">
        <v>107.7</v>
      </c>
      <c r="G193" s="76">
        <v>921.5</v>
      </c>
      <c r="H193" s="76">
        <v>1060.39</v>
      </c>
      <c r="I193" s="76">
        <v>76635.0</v>
      </c>
      <c r="J193" s="76">
        <v>110.2</v>
      </c>
      <c r="K193" s="76">
        <v>13.5</v>
      </c>
      <c r="L193" s="76">
        <v>30.65</v>
      </c>
      <c r="M193" s="76">
        <v>26.95</v>
      </c>
      <c r="N193" s="20"/>
    </row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N1"/>
    <mergeCell ref="A2:D2"/>
    <mergeCell ref="E2:H2"/>
    <mergeCell ref="I2:J2"/>
    <mergeCell ref="K2:L2"/>
    <mergeCell ref="M2:N2"/>
  </mergeCells>
  <hyperlinks>
    <hyperlink r:id="rId1" ref="N81"/>
    <hyperlink r:id="rId2" ref="N148"/>
    <hyperlink r:id="rId3" ref="N149"/>
    <hyperlink r:id="rId4" ref="N150"/>
    <hyperlink r:id="rId5" ref="N151"/>
    <hyperlink r:id="rId6" ref="N152"/>
    <hyperlink r:id="rId7" ref="N155"/>
    <hyperlink r:id="rId8" ref="N159"/>
    <hyperlink r:id="rId9" ref="N162"/>
    <hyperlink r:id="rId10" ref="N164"/>
    <hyperlink r:id="rId11" ref="N168"/>
    <hyperlink r:id="rId12" ref="N169"/>
    <hyperlink r:id="rId13" ref="N170"/>
    <hyperlink r:id="rId14" ref="N171"/>
    <hyperlink r:id="rId15" ref="N172"/>
    <hyperlink r:id="rId16" ref="N175"/>
    <hyperlink r:id="rId17" ref="N176"/>
    <hyperlink r:id="rId18" ref="N179"/>
    <hyperlink r:id="rId19" ref="N180"/>
    <hyperlink r:id="rId20" ref="N182"/>
    <hyperlink r:id="rId21" ref="N183"/>
    <hyperlink r:id="rId22" ref="N186"/>
    <hyperlink r:id="rId23" ref="N187"/>
    <hyperlink r:id="rId24" ref="N188"/>
    <hyperlink r:id="rId25" ref="N189"/>
    <hyperlink r:id="rId26" ref="N190"/>
    <hyperlink r:id="rId27" ref="N191"/>
  </hyperlinks>
  <printOptions/>
  <pageMargins bottom="1.0" footer="0.0" header="0.0" left="0.75" right="0.75" top="1.0"/>
  <pageSetup paperSize="9" orientation="portrait"/>
  <drawing r:id="rId2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2026-05-27T15:50:46Z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